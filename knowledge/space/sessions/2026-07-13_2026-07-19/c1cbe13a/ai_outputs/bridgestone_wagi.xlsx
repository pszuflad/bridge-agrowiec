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dgestone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<sst xmlns="http://schemas.openxmlformats.org/spreadsheetml/2006/main" count="569" uniqueCount="397">
  <si>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</si>
  <si>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</si>
  <si>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</si>
  <si>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</si>
  <si>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</si>
  <si>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</si>
  <si>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</si>
  <si>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315/60R22.5 Bridgestone 154/148L 3PMSF FRONT</t>
  </si>
  <si>
    <t xml:space="preserve">315/60R22.5</t>
  </si>
  <si>
    <t xml:space="preserve">154/148L</t>
  </si>
  <si>
    <t xml:space="preserve">3PMSF FRONT</t>
  </si>
  <si>
    <t xml:space="preserve">295/80R22.5 Bridgestone COACH-AP01 154M/149M 3PMSF</t>
  </si>
  <si>
    <t xml:space="preserve">295/80R22.5</t>
  </si>
  <si>
    <t xml:space="preserve">COACH-AP01</t>
  </si>
  <si>
    <t xml:space="preserve">154M/149M 3PMSF</t>
  </si>
  <si>
    <t xml:space="preserve">315/60R22.5 Bridgestone DURAVIS RD2 152L/148L 3PMSF DRIVE</t>
  </si>
  <si>
    <t xml:space="preserve">DURAVIS</t>
  </si>
  <si>
    <t xml:space="preserve">RD2 152L/148L 3PMSF DRIVE</t>
  </si>
  <si>
    <t xml:space="preserve">https://www.heuver.com/product/10002800/315-60r22-5-bridgestone-duravis-r-drive-002-152-148l-tl-m-s-3pmsf [dopasowano 'Duravis R-Drive 002 (napędowa)']</t>
  </si>
  <si>
    <t xml:space="preserve">385/65R22.5 Bridgestone ECO HT2 160K/158L 3PMSF</t>
  </si>
  <si>
    <t xml:space="preserve">385/65R22.5</t>
  </si>
  <si>
    <t xml:space="preserve">ECO</t>
  </si>
  <si>
    <t xml:space="preserve">HT2 160K/158L 3PMSF</t>
  </si>
  <si>
    <t xml:space="preserve">315/80R22.5 Bridgestone ECOPIA STEER 156L/154M 3PMSF FRONT</t>
  </si>
  <si>
    <t xml:space="preserve">315/80R22.5</t>
  </si>
  <si>
    <t xml:space="preserve">ECOPIA</t>
  </si>
  <si>
    <t xml:space="preserve">STEER 156L/154M 3PMSF FRONT</t>
  </si>
  <si>
    <t xml:space="preserve">https://heuver.prod.heuver.trimm.net/.rest/pdf/v1/pdf?pageUrl=https://heuver.prod.heuver.trimm.net/webshop/pdp-print?product=B31580225BRLHS200&amp;label=1&amp;name=x.pdf [dopasowano 'Ecopia H-Steer 002 (Enliten — sterowa)']</t>
  </si>
  <si>
    <t xml:space="preserve">315/80R22.5 Bridgestone ECOPIA DRIVE ENLITEN 156/150L 3PMSF M+S DRIVE</t>
  </si>
  <si>
    <t xml:space="preserve">DRIVE ENLITEN 156/150L 3PMSF M+S DRIVE</t>
  </si>
  <si>
    <t xml:space="preserve">385/55R22.5 Bridgestone ECOPIA STEER 160K/158L 3PMSF M+S FRONT</t>
  </si>
  <si>
    <t xml:space="preserve">385/55R22.5</t>
  </si>
  <si>
    <t xml:space="preserve">STEER 160K/158L 3PMSF M+S FRONT</t>
  </si>
  <si>
    <t xml:space="preserve">https://heuver.prod.heuver.trimm.net/.rest/pdf/v1/pdf?pageUrl=https://heuver.prod.heuver.trimm.net/webshop/pdp-print?product=B38555225BRKHS200&amp;label=1&amp;name=385-55r22-5-bridgestone-ecopia-h-steer-002-160k-158l-tl-3pmsf.pdf [dopasowano 'Ecopia H-Steer 002 (Enliten — sterowa)']</t>
  </si>
  <si>
    <t xml:space="preserve">315/60R22.5 Bridgestone HD2 ECO 153L/148L DRIVE</t>
  </si>
  <si>
    <t xml:space="preserve">HD2</t>
  </si>
  <si>
    <t xml:space="preserve">ECO 153L/148L DRIVE</t>
  </si>
  <si>
    <t xml:space="preserve">355/50R22.5 Bridgestone HS2 ECO 156L 3PMSF M+S FRONT</t>
  </si>
  <si>
    <t xml:space="preserve">355/50R22.5</t>
  </si>
  <si>
    <t xml:space="preserve">HS2</t>
  </si>
  <si>
    <t xml:space="preserve">ECO 156L 3PMSF M+S FRONT</t>
  </si>
  <si>
    <t xml:space="preserve">385/55R22.5 Bridgestone HT2 ECOPIA 160K/158L 3PMSF</t>
  </si>
  <si>
    <t xml:space="preserve">HT2</t>
  </si>
  <si>
    <t xml:space="preserve">ECOPIA 160K/158L 3PMSF</t>
  </si>
  <si>
    <t xml:space="preserve">445/45R19.5 Bridgestone HT2 ECOPIA 160J 3PMSF M+S</t>
  </si>
  <si>
    <t xml:space="preserve">445/45R19.5</t>
  </si>
  <si>
    <t xml:space="preserve">ECOPIA 160J 3PMSF M+S</t>
  </si>
  <si>
    <t xml:space="preserve">13R22.5 Bridgestone L317 EVO 158G/156K 3PMSF DRIVE</t>
  </si>
  <si>
    <t xml:space="preserve">13R22.5</t>
  </si>
  <si>
    <t xml:space="preserve">L317</t>
  </si>
  <si>
    <t xml:space="preserve">EVO 158G/156K 3PMSF DRIVE</t>
  </si>
  <si>
    <t xml:space="preserve">https://www.heuver.com/product/b01300225brg31701/13r22-5-bridgestone-l317-evo-158g-156k-tl-m-s-3pmsf</t>
  </si>
  <si>
    <t xml:space="preserve">13R22.5 Bridgestone L355 EVO 158G/156K 3PMSF DRIVE</t>
  </si>
  <si>
    <t xml:space="preserve">L355</t>
  </si>
  <si>
    <t xml:space="preserve">https://www.heuver.com/product/b01300225brg55e00/13r22-5-bridgestone-l355-evo-158g-156k-tl-m-s-3pmsf</t>
  </si>
  <si>
    <t xml:space="preserve">385/65R22.5 Bridgestone M748 EVO 164G/160K</t>
  </si>
  <si>
    <t xml:space="preserve">M748</t>
  </si>
  <si>
    <t xml:space="preserve">EVO 164G/160K</t>
  </si>
  <si>
    <t xml:space="preserve">https://www.heuver.com/product/b38565225brk74801/385-65r22-5-bridgestone-m748-160k-158l-tl-m-s</t>
  </si>
  <si>
    <t xml:space="preserve">315/70R22.5 Bridgestone M749 152M/154L 3PMSF DRIVE</t>
  </si>
  <si>
    <t xml:space="preserve">315/70R22.5</t>
  </si>
  <si>
    <t xml:space="preserve">M749</t>
  </si>
  <si>
    <t xml:space="preserve">152M/154L 3PMSF DRIVE</t>
  </si>
  <si>
    <t xml:space="preserve">https://heuver.prod.heuver.trimm.net/.rest/pdf/v1/pdf?pageUrl=https://heuver.prod.heuver.trimm.net/webshop/pdp-print?product=B31570225BRM74900&amp;label=1&amp;name=x.pdf</t>
  </si>
  <si>
    <t xml:space="preserve">10R17.5 Bridgestone M840 143/141J 3PMSF M+S</t>
  </si>
  <si>
    <t xml:space="preserve">10R17.5</t>
  </si>
  <si>
    <t xml:space="preserve">M840</t>
  </si>
  <si>
    <t xml:space="preserve">143/141J 3PMSF M+S</t>
  </si>
  <si>
    <t xml:space="preserve">10R22.5 Bridgestone M840 144/142K</t>
  </si>
  <si>
    <t xml:space="preserve">10R22.5</t>
  </si>
  <si>
    <t xml:space="preserve">144/142K</t>
  </si>
  <si>
    <t xml:space="preserve">https://www.e-agropneu.cz/pneumatiky/10-r22-5-tl-bridgestone-m840-144142k-k10570.htm [dopasowano 'M840 (V-Steel Mix — mixed)']</t>
  </si>
  <si>
    <t xml:space="preserve">11R22.5 Bridgestone M840 148K/145L 3PMSF</t>
  </si>
  <si>
    <t xml:space="preserve">11R22.5</t>
  </si>
  <si>
    <t xml:space="preserve">148K/145L 3PMSF</t>
  </si>
  <si>
    <t xml:space="preserve">https://www.heuver.com/product/b01100225brkm8401/11r22-5-bridgestone-m840-148k-145l-16pr-tl-m-s-3pmsf [dopasowano 'M840 (V-Steel Mix — mixed)']</t>
  </si>
  <si>
    <t xml:space="preserve">13R22.5 Bridgestone MD1 156/150K DRIVE</t>
  </si>
  <si>
    <t xml:space="preserve">MD1</t>
  </si>
  <si>
    <t xml:space="preserve">156/150K DRIVE</t>
  </si>
  <si>
    <t xml:space="preserve">https://www.heuver.com/product/b01300225brkmd100/13r22-5-bridgestone-md1-156-150k-tl-m-s [dopasowano 'MD1 (M-Drive 001)']</t>
  </si>
  <si>
    <t xml:space="preserve">295/80R22.5 Bridgestone MD2 152K/148K 3PMSF M+S DRIVE</t>
  </si>
  <si>
    <t xml:space="preserve">MD2</t>
  </si>
  <si>
    <t xml:space="preserve">152K/148K 3PMSF M+S DRIVE</t>
  </si>
  <si>
    <t xml:space="preserve">13R22.5 Bridgestone MS1 156K FRONT</t>
  </si>
  <si>
    <t xml:space="preserve">MS1</t>
  </si>
  <si>
    <t xml:space="preserve">156K FRONT</t>
  </si>
  <si>
    <t xml:space="preserve">https://www.heuver.com/product/b01300225brkms100/13r22-5-bridgestone-ms1-156k-tl-m-s [dopasowano 'MS1 (M-Steer 001)']</t>
  </si>
  <si>
    <t xml:space="preserve">385/65R22.5 Bridgestone MT 001 PLUS 160K/158L</t>
  </si>
  <si>
    <t xml:space="preserve">MT</t>
  </si>
  <si>
    <t xml:space="preserve">001 PLUS 160K/158L</t>
  </si>
  <si>
    <t xml:space="preserve">31x15.50-15 Bridgestone PD1 4PR TL</t>
  </si>
  <si>
    <t xml:space="preserve">31x15.50-15</t>
  </si>
  <si>
    <t xml:space="preserve">PD1</t>
  </si>
  <si>
    <t xml:space="preserve">4PR TL</t>
  </si>
  <si>
    <t xml:space="preserve">https://www.heuver.com/webshop/product/b03115015brpd1000/31x15-50-15-bridgestone-pd1-4pr</t>
  </si>
  <si>
    <t xml:space="preserve">475/65-20 Bridgestone PD1 122A6 4PR TT</t>
  </si>
  <si>
    <t xml:space="preserve">475/65-20</t>
  </si>
  <si>
    <t xml:space="preserve">122A6 4PR TT</t>
  </si>
  <si>
    <t xml:space="preserve">https://onlineshop.bohnenkamp.de/en/tyre-bridgestone-pd1-475-65-d-20-19800248</t>
  </si>
  <si>
    <t xml:space="preserve">435/50R19.5 Bridgestone R166 160J 3PMSF</t>
  </si>
  <si>
    <t xml:space="preserve">435/50R19.5</t>
  </si>
  <si>
    <t xml:space="preserve">R166</t>
  </si>
  <si>
    <t xml:space="preserve">160J 3PMSF</t>
  </si>
  <si>
    <t xml:space="preserve">https://www.heuver.com/product/b43550195brj16600/435-50r19-5-bridgestone-r166-160j-tl-m-s-3pmsf</t>
  </si>
  <si>
    <t xml:space="preserve">385/65R22.5 Bridgestone R168+ 160K/158L 3PMSF M+S</t>
  </si>
  <si>
    <t xml:space="preserve">R168</t>
  </si>
  <si>
    <t xml:space="preserve">+ 160K/158L 3PMSF M+S</t>
  </si>
  <si>
    <t xml:space="preserve">https://heuver.prod.heuver.trimm.net/.rest/pdf/v1/pdf?pageUrl=https://heuver.prod.heuver.trimm.net/webshop/pdp-print?product=B38565225BRK68P04&amp;label=1&amp;name=385-65r22-5-bridgestone-r168-160k-158l-tl-m-s-3pmsf.pdf [dopasowano 'R168 (R168+)']</t>
  </si>
  <si>
    <t xml:space="preserve">295/60R22.5 Bridgestone R249 ECO 150L/147L 3PMSF FRONT</t>
  </si>
  <si>
    <t xml:space="preserve">295/60R22.5</t>
  </si>
  <si>
    <t xml:space="preserve">R249</t>
  </si>
  <si>
    <t xml:space="preserve">ECO 150L/147L 3PMSF FRONT</t>
  </si>
  <si>
    <t xml:space="preserve">https://www.heuver.com/product/b29560225brl24901/295-60r22-5-bridgestone-r249-ecopia-150-147l-tl [dopasowano 'R249 Ecopia']</t>
  </si>
  <si>
    <t xml:space="preserve">205/75R17.5 Bridgestone RD2 124/122M 3PMSF DRIVE</t>
  </si>
  <si>
    <t xml:space="preserve">205/75R17.5</t>
  </si>
  <si>
    <t xml:space="preserve">RD2</t>
  </si>
  <si>
    <t xml:space="preserve">124/122M 3PMSF DRIVE</t>
  </si>
  <si>
    <t xml:space="preserve">225/75R17.5 Bridgestone RD2 129M/127M 3PMSF DRIVE</t>
  </si>
  <si>
    <t xml:space="preserve">225/75R17.5</t>
  </si>
  <si>
    <t xml:space="preserve">129M/127M 3PMSF DRIVE</t>
  </si>
  <si>
    <t xml:space="preserve">https://www.heuver.com/product/b22575175brmrd200/225-75r17-5-bridgestone-r-drive-002-129-127m-tl-m-s-3pmsf [dopasowano 'RD2 (R-Drive 002 / Duravis R-Drive 002 — napędowa)']</t>
  </si>
  <si>
    <t xml:space="preserve">265/70R17.5 Bridgestone RD2 138M/136M 3PMSF DRIVE</t>
  </si>
  <si>
    <t xml:space="preserve">265/70R17.5</t>
  </si>
  <si>
    <t xml:space="preserve">138M/136M 3PMSF DRIVE</t>
  </si>
  <si>
    <t xml:space="preserve">https://www.heuver.com/product/b26570175brmrd200/265-70r17-5-bridgestone-r-drive-002-138-136m-tl-m-s-3pmsf [dopasowano 'RD2 (R-Drive 002 / Duravis R-Drive 002 — napędowa)']</t>
  </si>
  <si>
    <t xml:space="preserve">265/70R19.5 Bridgestone RD2 140M/138M DRIVE</t>
  </si>
  <si>
    <t xml:space="preserve">265/70R19.5</t>
  </si>
  <si>
    <t xml:space="preserve">140M/138M DRIVE</t>
  </si>
  <si>
    <t xml:space="preserve">https://www.heuver.com/product/b26570195brmrd200/265-70r19-5-bridgestone-r-drive-002-140-138m-tl-m-s-3pmsf [dopasowano 'RD2 (R-Drive 002 / Duravis R-Drive 002 — napędowa)']</t>
  </si>
  <si>
    <t xml:space="preserve">285/70R19.5 Bridgestone RD2 146M/144M 3PMSF DRIVE</t>
  </si>
  <si>
    <t xml:space="preserve">285/70R19.5</t>
  </si>
  <si>
    <t xml:space="preserve">146M/144M 3PMSF DRIVE</t>
  </si>
  <si>
    <t xml:space="preserve">https://www.helios-bg.com/en/item/3256/bridgestone-285-70r19-5-r-drive-002-144-146m.htm [dopasowano 'RD2 (R-Drive 002 / Duravis R-Drive 002 — napędowa)']</t>
  </si>
  <si>
    <t xml:space="preserve">295/60R22.5 Bridgestone RD2 DURAVIS 150L/147L 3PMSF DRIVE</t>
  </si>
  <si>
    <t xml:space="preserve">DURAVIS 150L/147L 3PMSF DRIVE</t>
  </si>
  <si>
    <t xml:space="preserve">https://www.heuver.com/product/10002928/295-60r22-5-bridgestone-duravis-r-drive-002-150-147l-tl-m-s-3pmsf [dopasowano 'RD2 (R-Drive 002 / Duravis R-Drive 002 — napędowa)']</t>
  </si>
  <si>
    <t xml:space="preserve">295/80R22.5 Bridgestone RD2 DURAVIS 152M/148M DRIVE</t>
  </si>
  <si>
    <t xml:space="preserve">DURAVIS 152M/148M DRIVE</t>
  </si>
  <si>
    <t xml:space="preserve">315/80R22.5 Bridgestone RD2 SEVERE DUTY DURAVIS 156L/154M 3PMSF DRIVE</t>
  </si>
  <si>
    <t xml:space="preserve">SEVERE DUTY DURAVIS 156L/154M 3PMSF DRIVE</t>
  </si>
  <si>
    <t xml:space="preserve">215/75R17.5 Bridgestone RS2 128M/126M FRONT</t>
  </si>
  <si>
    <t xml:space="preserve">215/75R17.5</t>
  </si>
  <si>
    <t xml:space="preserve">RS2</t>
  </si>
  <si>
    <t xml:space="preserve">128M/126M FRONT</t>
  </si>
  <si>
    <t xml:space="preserve">https://www.xlpneus.com/fr/poids-lourds-regional/13087-pneu-bridgestone-duravis-r-steer-002-215-75-r-175-128-126m-3pmsf-3286341037814.html [dopasowano 'RS2 (R-Steer 002 / Duravis R-Steer 002 — sterowa)']</t>
  </si>
  <si>
    <t xml:space="preserve">225/75R17.5 Bridgestone RS2 129M/127M 3PMSF FRONT</t>
  </si>
  <si>
    <t xml:space="preserve">129M/127M 3PMSF FRONT</t>
  </si>
  <si>
    <t xml:space="preserve">https://www.heuver.com/product/b22575175brmrs200/225-75r17-5-bridgestone-r-steer-002-129-127m-tl-m-s-3pmsf [dopasowano 'RS2 (R-Steer 002 / Duravis R-Steer 002 — sterowa)']</t>
  </si>
  <si>
    <t xml:space="preserve">235/75R17.5 Bridgestone RS2 132M/130M FRONT</t>
  </si>
  <si>
    <t xml:space="preserve">235/75R17.5</t>
  </si>
  <si>
    <t xml:space="preserve">132M/130M FRONT</t>
  </si>
  <si>
    <t xml:space="preserve">https://www.heuver.com/product/b23575175brmrs200/235-75r17-5-bridgestone-r-steer-002-132-130m-tl-m-s-3pmsf [dopasowano 'RS2 (R-Steer 002 / Duravis R-Steer 002 — sterowa)']</t>
  </si>
  <si>
    <t xml:space="preserve">245/70R17.5 Bridgestone RS2 136M/134M FRONT</t>
  </si>
  <si>
    <t xml:space="preserve">245/70R17.5</t>
  </si>
  <si>
    <t xml:space="preserve">136M/134M FRONT</t>
  </si>
  <si>
    <t xml:space="preserve">https://www.heuver.com/product/b24570175brmrs200/245-70r17-5-bridgestone-r-steer-002-136-134m-tl-m-s-3pmsf [dopasowano 'RS2 (R-Steer 002 / Duravis R-Steer 002 — sterowa)']</t>
  </si>
  <si>
    <t xml:space="preserve">265/70R17.5 Bridgestone RS2 138M/136M 3PMSF FRONT</t>
  </si>
  <si>
    <t xml:space="preserve">138M/136M 3PMSF FRONT</t>
  </si>
  <si>
    <t xml:space="preserve">https://www.rajpneu.sk/pneumatika/265-70-R17-5-R-STEER-002-138M-BRIDGESTONE [dopasowano 'RS2 (R-Steer 002 / Duravis R-Steer 002 — sterowa)']</t>
  </si>
  <si>
    <t xml:space="preserve">265/70R19.5 Bridgestone RS2 140M/138M FRONT</t>
  </si>
  <si>
    <t xml:space="preserve">140M/138M FRONT</t>
  </si>
  <si>
    <t xml:space="preserve">https://www.heuver.com/product/b26570195brmrs200/265-70r19-5-bridgestone-r-steer-002-140-138m-tl-m-s-3pmsf [dopasowano 'RS2 (R-Steer 002 / Duravis R-Steer 002 — sterowa)']</t>
  </si>
  <si>
    <t xml:space="preserve">285/70R19.5 Bridgestone RS2 146M/144M 3PMSF FRONT</t>
  </si>
  <si>
    <t xml:space="preserve">146M/144M 3PMSF FRONT</t>
  </si>
  <si>
    <t xml:space="preserve">https://www.heuver.com/product/b28570195brmrs200/285-70r19-5-bridgestone-r-steer-002-146-144m-tl-m-s-3pmsf [dopasowano 'RS2 (R-Steer 002 / Duravis R-Steer 002 — sterowa)']</t>
  </si>
  <si>
    <t xml:space="preserve">295/80R22.5 Bridgestone RS2 DURAVIS 154M/149M 3PMSF FRONT</t>
  </si>
  <si>
    <t xml:space="preserve">DURAVIS 154M/149M 3PMSF FRONT</t>
  </si>
  <si>
    <t xml:space="preserve">https://www.gumiok.sk/bridgestone-295-80-r22-5-duravis-r-steer-002-154-149m-3pmsf-m-s-front/ [dopasowano 'RS2 (R-Steer 002 / Duravis R-Steer 002 — sterowa)']</t>
  </si>
  <si>
    <t xml:space="preserve">315/70R22.5 Bridgestone RS2 DURAVIS 156L/154M 3PMSF FRONT</t>
  </si>
  <si>
    <t xml:space="preserve">DURAVIS 156L/154M 3PMSF FRONT</t>
  </si>
  <si>
    <t xml:space="preserve">https://www.heuver.com/product/10002110/315-70r22-5-bridgestone-duravis-r-steer-002-156-150l-154-150m-tl-m-s-3pmsf [dopasowano 'RS2 (R-Steer 002 / Duravis R-Steer 002 — sterowa)']</t>
  </si>
  <si>
    <t xml:space="preserve">315/80R22.5 Bridgestone RS2 DURAVIS 156L/154M 3PMSF FRONT</t>
  </si>
  <si>
    <t xml:space="preserve">315/80R22.5 Bridgestone RS2 SEVERE DUTY DURAVIS 156L/154M 3PMSF FRONT</t>
  </si>
  <si>
    <t xml:space="preserve">SEVERE DUTY DURAVIS 156L/154M 3PMSF FRONT</t>
  </si>
  <si>
    <t xml:space="preserve">385/55R22.5 Bridgestone RS2 DURAVIS 160K/158L FRONT</t>
  </si>
  <si>
    <t xml:space="preserve">DURAVIS 160K/158L FRONT</t>
  </si>
  <si>
    <t xml:space="preserve">385/65R22.5 Bridgestone RS2 DURAVIS 160K/158L FRONT</t>
  </si>
  <si>
    <t xml:space="preserve">https://www.heuver.com/product/10002896/385-65r22-5-bridgestone-duravis-r-steer-002-evo-164k-158l-tl-m-s-3pmsf [dopasowano 'RS2 (R-Steer 002 / Duravis R-Steer 002 — sterowa)']</t>
  </si>
  <si>
    <t xml:space="preserve">205/65R17.5 Bridgestone RT1 132J/133F 3PMSF M+S</t>
  </si>
  <si>
    <t xml:space="preserve">205/65R17.5</t>
  </si>
  <si>
    <t xml:space="preserve">RT1</t>
  </si>
  <si>
    <t xml:space="preserve">132J/133F 3PMSF M+S</t>
  </si>
  <si>
    <t xml:space="preserve">https://www.heuver.com/product/b20565175brjrt100/205-65r17-5-bridgestone-rt-001-132j-133f-tl-m-s-3pmsf [dopasowano 'RT1 (R-Trailer 001 / RT-001 — naczepowa)']</t>
  </si>
  <si>
    <t xml:space="preserve">215/75R17.5 Bridgestone RT1 136/134K 3PMSF M+S</t>
  </si>
  <si>
    <t xml:space="preserve">136/134K 3PMSF M+S</t>
  </si>
  <si>
    <t xml:space="preserve">https://www.heuver.com/product/b21575175brkrt100/215-75r17-5-bridgestone-rt-001-136-134k-tl-m-s-3pmsf [dopasowano 'RT1 (R-Trailer 001 / RT-001 — naczepowa)']</t>
  </si>
  <si>
    <t xml:space="preserve">235/75R17.5 Bridgestone RT1 143J/146F 3PMSF</t>
  </si>
  <si>
    <t xml:space="preserve">143J/146F 3PMSF</t>
  </si>
  <si>
    <t xml:space="preserve">https://www.heuver.com/product/b23575175brjrt100/235-75r17-5-bridgestone-rt-001-143j-146f-tl-m-s-3pmsf [dopasowano 'RT1 (R-Trailer 001 / RT-001 — naczepowa)']</t>
  </si>
  <si>
    <t xml:space="preserve">245/70R17.5 Bridgestone RT1 143J/146F 3PMSF</t>
  </si>
  <si>
    <t xml:space="preserve">https://www.heuver.com/product/b24570175brjrt100/245-70r17-5-bridgestone-rt-001-143j-146f-tl-m-s-3pmsf [dopasowano 'RT1 (R-Trailer 001 / RT-001 — naczepowa)']</t>
  </si>
  <si>
    <t xml:space="preserve">245/70R19.5 Bridgestone RT1 141J/140J</t>
  </si>
  <si>
    <t xml:space="preserve">245/70R19.5</t>
  </si>
  <si>
    <t xml:space="preserve">141J/140J</t>
  </si>
  <si>
    <t xml:space="preserve">https://www.heuver.com/product/10001018/245-70r19-5-bridgestone-rt1-141-140j-tl-m-s-3pmsf [dopasowano 'RT1 (R-Trailer 001 / RT-001 — naczepowa)']</t>
  </si>
  <si>
    <t xml:space="preserve">265/70R19.5 Bridgestone RT1 143K</t>
  </si>
  <si>
    <t xml:space="preserve">143K</t>
  </si>
  <si>
    <t xml:space="preserve">https://www.heuver.com/product/b26570195brkrt100/265-70r19-5-bridgestone-rt-001-143-141k-tl-m-s-3pmsf [dopasowano 'RT1 (R-Trailer 001 / RT-001 — naczepowa)']</t>
  </si>
  <si>
    <t xml:space="preserve">385/55R22.5 Bridgestone RT2 DURAVIS 160K</t>
  </si>
  <si>
    <t xml:space="preserve">RT2</t>
  </si>
  <si>
    <t xml:space="preserve">DURAVIS 160K</t>
  </si>
  <si>
    <t xml:space="preserve">https://www.heuver.com/product/10002065/385-55r22-5-bridgestone-duravis-r-trailer-002-160k-tl-m-s-3pmsf [dopasowano 'RT2 (Duravis R-Trailer 002 — naczepowa)']</t>
  </si>
  <si>
    <t xml:space="preserve">275/70R22.5 Bridgestone U-AP002 152J/150K 3PMSF M+S</t>
  </si>
  <si>
    <t xml:space="preserve">275/70R22.5</t>
  </si>
  <si>
    <t xml:space="preserve">U-AP002</t>
  </si>
  <si>
    <t xml:space="preserve">152J/150K 3PMSF M+S</t>
  </si>
  <si>
    <t xml:space="preserve">https://www.heuver.com/product/10003893/275-70r22-5-bridgestone-u-ap002-152-148j-150-148k-tl-m-s-3pmsf [dopasowano 'U-AP002 (miejska/uniwersalna)']</t>
  </si>
  <si>
    <t xml:space="preserve">275/70R22.5 Bridgestone V-STEEL MIX M840 148/145K 3PMSF M+S</t>
  </si>
  <si>
    <t xml:space="preserve">V-STEEL MIX M840</t>
  </si>
  <si>
    <t xml:space="preserve">148/145K 3PMSF M+S</t>
  </si>
  <si>
    <t xml:space="preserve">https://heuver.prod.heuver.trimm.net/.rest/pdf/v1/pdf?pageUrl=https://heuver.prod.heuver.trimm.net/webshop/pdp-print?product=B27570225BRKM8401&amp;label=1&amp;name=275-70r22-5-bridgestone-m840.pdf [dopasowano 'V-Steel Mix M840 (mixed)']</t>
  </si>
  <si>
    <t xml:space="preserve">460/70R24 Bridgestone VH-IND 159A8/156B TL</t>
  </si>
  <si>
    <t xml:space="preserve">460/70R24</t>
  </si>
  <si>
    <t xml:space="preserve">VH-IND</t>
  </si>
  <si>
    <t xml:space="preserve">159A8/156B TL</t>
  </si>
  <si>
    <t xml:space="preserve">900/65R46 Bridgestone VT TRACTOR 193D/190E TL</t>
  </si>
  <si>
    <t xml:space="preserve">900/65R46</t>
  </si>
  <si>
    <t xml:space="preserve">VT TRACTOR</t>
  </si>
  <si>
    <t xml:space="preserve">193D/190E TL</t>
  </si>
  <si>
    <t xml:space="preserve">480/65R28 Bridgestone VT-TRACTOR 148D/145E TL</t>
  </si>
  <si>
    <t xml:space="preserve">480/65R28</t>
  </si>
  <si>
    <t xml:space="preserve">VT-TRACTOR</t>
  </si>
  <si>
    <t xml:space="preserve">148D/145E TL</t>
  </si>
  <si>
    <t xml:space="preserve">https://onlineshop.bohnenkamp.de/de/reifen-bridgestone-vt-tractor-vf-480-65-r-28-nro-10629020</t>
  </si>
  <si>
    <t xml:space="preserve">600/70R30 Bridgestone VT-TRACTOR 165D/161E TL</t>
  </si>
  <si>
    <t xml:space="preserve">600/70R30</t>
  </si>
  <si>
    <t xml:space="preserve">165D/161E TL</t>
  </si>
  <si>
    <t xml:space="preserve">https://onlineshop.bohnenkamp.de/de/reifen-bridgestone-vt-tractor-vf-600-70-r-30-nro-10006584</t>
  </si>
  <si>
    <t xml:space="preserve">VF600/65R28 Bridgestone VT-TRACTOR 159D/156E TL</t>
  </si>
  <si>
    <t xml:space="preserve">VF600/65R28</t>
  </si>
  <si>
    <t xml:space="preserve">159D/156E TL</t>
  </si>
  <si>
    <t xml:space="preserve">https://onlineshop.bohnenkamp.de/de/reifen-bridgestone-vt-tractor-vf-600-65-r-28-10629040</t>
  </si>
  <si>
    <t xml:space="preserve">340/85R24 Bridgestone VX Tractor 125D/122E TL</t>
  </si>
  <si>
    <t xml:space="preserve">340/85R24</t>
  </si>
  <si>
    <t xml:space="preserve">VX TRACTOR</t>
  </si>
  <si>
    <t xml:space="preserve">125D/122E TL</t>
  </si>
  <si>
    <t xml:space="preserve">https://onlineshop.bohnenkamp.de/de/reifen-bridgestone-vx-tractor-340-85-r-24-10000477</t>
  </si>
  <si>
    <t xml:space="preserve">380/70R24 Bridgestone VX Tractor 125D/122E TL</t>
  </si>
  <si>
    <t xml:space="preserve">380/70R24</t>
  </si>
  <si>
    <t xml:space="preserve">https://onlineshop.bohnenkamp.de/de/reifen-bridgestone-vx-tractor-380-70-r-24-10000479</t>
  </si>
  <si>
    <t xml:space="preserve">380/85R28 Bridgestone VX Tractor 133D/130E TL</t>
  </si>
  <si>
    <t xml:space="preserve">380/85R28</t>
  </si>
  <si>
    <t xml:space="preserve">133D/130E TL</t>
  </si>
  <si>
    <t xml:space="preserve">https://onlineshop.bohnenkamp.de/de/reifen-bridgestone-vx-tractor-380-85-r-28-10000494</t>
  </si>
  <si>
    <t xml:space="preserve">420/70R24 Bridgestone VX Tractor 130D/127E TL</t>
  </si>
  <si>
    <t xml:space="preserve">420/70R24</t>
  </si>
  <si>
    <t xml:space="preserve">130D/127E TL</t>
  </si>
  <si>
    <t xml:space="preserve">https://onlineshop.bohnenkamp.de/de/reifen-bridgestone-vx-tractor-420-70-r-24-10000481</t>
  </si>
  <si>
    <t xml:space="preserve">420/85R24 Bridgestone VX Tractor 137D/134E TL</t>
  </si>
  <si>
    <t xml:space="preserve">420/85R24</t>
  </si>
  <si>
    <t xml:space="preserve">137D/134E TL</t>
  </si>
  <si>
    <t xml:space="preserve">420/85R28 Bridgestone VX Tractor 139D/136E TL</t>
  </si>
  <si>
    <t xml:space="preserve">420/85R28</t>
  </si>
  <si>
    <t xml:space="preserve">139D/136E TL</t>
  </si>
  <si>
    <t xml:space="preserve">https://onlineshop.bohnenkamp.de/de/reifen-bridgestone-vx-tractor-420-85-r-28-10000496</t>
  </si>
  <si>
    <t xml:space="preserve">420/85R30 Bridgestone VX Tractor 140D/137E TL</t>
  </si>
  <si>
    <t xml:space="preserve">420/85R30</t>
  </si>
  <si>
    <t xml:space="preserve">140D/137E TL</t>
  </si>
  <si>
    <t xml:space="preserve">https://onlineshop.bohnenkamp.de/de/reifen-bridgestone-vx-tractor-420-85-r-30-10000507</t>
  </si>
  <si>
    <t xml:space="preserve">420/85R34 Bridgestone VX Tractor 142D/139E TL</t>
  </si>
  <si>
    <t xml:space="preserve">420/85R34</t>
  </si>
  <si>
    <t xml:space="preserve">142D/139E TL</t>
  </si>
  <si>
    <t xml:space="preserve">https://onlineshop.bohnenkamp.de/de/reifen-bridgestone-vx-tractor-420-85-r-34-10000512</t>
  </si>
  <si>
    <t xml:space="preserve">420/85R38 Bridgestone VX Tractor 144D/141E TL</t>
  </si>
  <si>
    <t xml:space="preserve">420/85R38</t>
  </si>
  <si>
    <t xml:space="preserve">144D/141E TL</t>
  </si>
  <si>
    <t xml:space="preserve">https://onlineshop.bohnenkamp.de/de/reifen-bridgestone-vx-tractor-420-85-r-38-10000525</t>
  </si>
  <si>
    <t xml:space="preserve">440/65R24 Bridgestone VX Tractor 128D/125E TL</t>
  </si>
  <si>
    <t xml:space="preserve">440/65R24</t>
  </si>
  <si>
    <t xml:space="preserve">128D/125E TL</t>
  </si>
  <si>
    <t xml:space="preserve">https://onlineshop.bohnenkamp.de/de/reifen-bridgestone-vx-tractor-440-65-r-24-10000482</t>
  </si>
  <si>
    <t xml:space="preserve">440/65R28 Bridgestone VX Tractor 131D/128E TL</t>
  </si>
  <si>
    <t xml:space="preserve">440/65R28</t>
  </si>
  <si>
    <t xml:space="preserve">131D/128E TL</t>
  </si>
  <si>
    <t xml:space="preserve">https://onlineshop.bohnenkamp.de/de/reifen-bridgestone-vx-tractor-440-65-r-28-10000497</t>
  </si>
  <si>
    <t xml:space="preserve">460/85R34 Bridgestone VX Tractor 147D/144E TL</t>
  </si>
  <si>
    <t xml:space="preserve">460/85R34</t>
  </si>
  <si>
    <t xml:space="preserve">147D/144E TL</t>
  </si>
  <si>
    <t xml:space="preserve">https://onlineshop.bohnenkamp.de/de/reifen-bridgestone-vx-tractor-460-85-r-34-10000513</t>
  </si>
  <si>
    <t xml:space="preserve">460/85R38 Bridgestone VX Tractor 149D/146E TL</t>
  </si>
  <si>
    <t xml:space="preserve">460/85R38</t>
  </si>
  <si>
    <t xml:space="preserve">149D/146E TL</t>
  </si>
  <si>
    <t xml:space="preserve">https://onlineshop.bohnenkamp.de/de/reifen-bridgestone-vx-tractor-460-85-r-38-10000526</t>
  </si>
  <si>
    <t xml:space="preserve">460/85R42 Bridgestone VX Tractor 156D/153E TL</t>
  </si>
  <si>
    <t xml:space="preserve">460/85R42</t>
  </si>
  <si>
    <t xml:space="preserve">156D/153E TL</t>
  </si>
  <si>
    <t xml:space="preserve">https://onlineshop.bohnenkamp.de/de/reifen-bridgestone-vx-tractor-460-85-r-42-10000537</t>
  </si>
  <si>
    <t xml:space="preserve">480/65R24 Bridgestone VX Tractor 140D/137E TL</t>
  </si>
  <si>
    <t xml:space="preserve">480/65R24</t>
  </si>
  <si>
    <t xml:space="preserve">https://onlineshop.bohnenkamp.de/de/reifen-bridgestone-vx-tractor-480-65-r-24-10000483</t>
  </si>
  <si>
    <t xml:space="preserve">480/65R28 Bridgestone VX Tractor 136D TL</t>
  </si>
  <si>
    <t xml:space="preserve">136D TL</t>
  </si>
  <si>
    <t xml:space="preserve">https://onlineshop.bohnenkamp.de/de/reifen-bridgestone-vx-tractor-480-65-r-28-10000501</t>
  </si>
  <si>
    <t xml:space="preserve">480/70R28 Bridgestone VX Tractor 140D/137E TL</t>
  </si>
  <si>
    <t xml:space="preserve">480/70R28</t>
  </si>
  <si>
    <t xml:space="preserve">https://onlineshop.bohnenkamp.de/de/reifen-bridgestone-vx-tractor-480-70-r-28-10000502</t>
  </si>
  <si>
    <t xml:space="preserve">480/70R34 Bridgestone VX Tractor 143D/140E TL</t>
  </si>
  <si>
    <t xml:space="preserve">480/70R34</t>
  </si>
  <si>
    <t xml:space="preserve">143D/140E TL</t>
  </si>
  <si>
    <t xml:space="preserve">https://onlineshop.bohnenkamp.de/de/reifen-bridgestone-vx-tractor-480-70-r-34-10000514</t>
  </si>
  <si>
    <t xml:space="preserve">480/70R38 Bridgestone VX Tractor 145D/142E TL</t>
  </si>
  <si>
    <t xml:space="preserve">480/70R38</t>
  </si>
  <si>
    <t xml:space="preserve">145D/142E TL</t>
  </si>
  <si>
    <t xml:space="preserve">https://onlineshop.bohnenkamp.de/de/reifen-bridgestone-vx-tractor-480-70-r-38-10000527</t>
  </si>
  <si>
    <t xml:space="preserve">520/70R34 Bridgestone VX Tractor 148D/145E TL</t>
  </si>
  <si>
    <t xml:space="preserve">520/70R34</t>
  </si>
  <si>
    <t xml:space="preserve">520/70R38 Bridgestone VX Tractor 150D/147E TL</t>
  </si>
  <si>
    <t xml:space="preserve">520/70R38</t>
  </si>
  <si>
    <t xml:space="preserve">150D/147E TL</t>
  </si>
  <si>
    <t xml:space="preserve">https://onlineshop.bohnenkamp.de/de/reifen-bridgestone-vx-tractor-520-70-r-38-10000528</t>
  </si>
  <si>
    <t xml:space="preserve">520/85R38 Bridgestone VX Tractor 155D/152E TL</t>
  </si>
  <si>
    <t xml:space="preserve">520/85R38</t>
  </si>
  <si>
    <t xml:space="preserve">155D/152E TL</t>
  </si>
  <si>
    <t xml:space="preserve">https://onlineshop.bohnenkamp.de/de/reifen-bridgestone-vx-tractor-520-85-r-38-10000529</t>
  </si>
  <si>
    <t xml:space="preserve">540/65R28 Bridgestone VX Tractor 142D/139E TL</t>
  </si>
  <si>
    <t xml:space="preserve">540/65R28</t>
  </si>
  <si>
    <t xml:space="preserve">https://onlineshop.bohnenkamp.de/de/reifen-bridgestone-vx-tractor-540-65-r-28-10000503</t>
  </si>
  <si>
    <t xml:space="preserve">540/65R34 Bridgestone VX Tractor 145D/142E TL</t>
  </si>
  <si>
    <t xml:space="preserve">540/65R34</t>
  </si>
  <si>
    <t xml:space="preserve">https://onlineshop.bohnenkamp.de/de/reifen-bridgestone-vx-tractor-540-65-r-34-10000522</t>
  </si>
  <si>
    <t xml:space="preserve">580/70R38 Bridgestone VX Tractor 155D/152E TL</t>
  </si>
  <si>
    <t xml:space="preserve">580/70R38</t>
  </si>
  <si>
    <t xml:space="preserve">https://onlineshop.bohnenkamp.de/de/reifen-bridgestone-vx-tractor-580-70-r-38-10000531</t>
  </si>
  <si>
    <t xml:space="preserve">580/70R42 Bridgestone VX Tractor 162D/159E TL</t>
  </si>
  <si>
    <t xml:space="preserve">580/70R42</t>
  </si>
  <si>
    <t xml:space="preserve">162D/159E TL</t>
  </si>
  <si>
    <t xml:space="preserve">https://onlineshop.bohnenkamp.de/de/reifen-bridgestone-vx-tractor-580-70-r-42-10000539</t>
  </si>
  <si>
    <t xml:space="preserve">600/65R34 Bridgestone VX Tractor 151D/148E TL</t>
  </si>
  <si>
    <t xml:space="preserve">600/65R34</t>
  </si>
  <si>
    <t xml:space="preserve">151D/148E TL</t>
  </si>
  <si>
    <t xml:space="preserve">https://onlineshop.bohnenkamp.de/de/reifen-bridgestone-vx-tractor-600-65-r-34-10000523</t>
  </si>
  <si>
    <t xml:space="preserve">600/65R38 Bridgestone VX Tractor 153D/150E TL</t>
  </si>
  <si>
    <t xml:space="preserve">600/65R38</t>
  </si>
  <si>
    <t xml:space="preserve">153D/150E TL</t>
  </si>
  <si>
    <t xml:space="preserve">https://onlineshop.bohnenkamp.de/de/reifen-bridgestone-vx-tractor-600-65-r-38-10000532</t>
  </si>
  <si>
    <t xml:space="preserve">650/65R38 Bridgestone VX Tractor 157D/154E TL</t>
  </si>
  <si>
    <t xml:space="preserve">650/65R38</t>
  </si>
  <si>
    <t xml:space="preserve">157D/154E TL</t>
  </si>
  <si>
    <t xml:space="preserve">https://onlineshop.bohnenkamp.de/de/reifen-bridgestone-vx-tractor-650-65-r-38-10000533</t>
  </si>
  <si>
    <t xml:space="preserve">360/70R24 Bridgestone VX-R TRACTOR 122D/119E TL</t>
  </si>
  <si>
    <t xml:space="preserve">360/70R24</t>
  </si>
  <si>
    <t xml:space="preserve">VX-R TRACTOR</t>
  </si>
  <si>
    <t xml:space="preserve">122D/119E TL</t>
  </si>
  <si>
    <t xml:space="preserve">https://www.e-agropneu.cz/pneumatiky/36070-r24-122d-tl-vx-r-tractor-k62560.htm</t>
  </si>
  <si>
    <t xml:space="preserve">380/70R24 Bridgestone VX-R TRACTOR 125D/122E TL</t>
  </si>
  <si>
    <t xml:space="preserve">https://www.e-agropneu.cz/pneumatiky/38070-r24-125d-tl-vx-r-tractor-k55182.htm</t>
  </si>
  <si>
    <t xml:space="preserve">380/85R28 Bridgestone VX-R TRACTOR 133D/130E TL</t>
  </si>
  <si>
    <t xml:space="preserve">https://www.e-agropneu.cz/pneumatiky/38085r-28-133d-tl-vx-r-tractor-k53649.htm</t>
  </si>
  <si>
    <t xml:space="preserve">420/70R28 Bridgestone VX-R TRACTOR 133D/130E TL</t>
  </si>
  <si>
    <t xml:space="preserve">420/70R28</t>
  </si>
  <si>
    <t xml:space="preserve">https://www.e-agropneu.cz/pneumatiky/42070r-28-133d-tl-vx-r-tractor-k53652.htm</t>
  </si>
  <si>
    <t xml:space="preserve">480/65R24 Bridgestone VX-R TRACTOR 133D/130E TL</t>
  </si>
  <si>
    <t xml:space="preserve">https://www.e-agropneu.cz/pneumatiky/48065-r24-133d-tl-vx-r-tractor-k55570.htm</t>
  </si>
  <si>
    <t xml:space="preserve">520/70R34 Bridgestone VX-R TRACTOR 148D/145E TL</t>
  </si>
  <si>
    <t xml:space="preserve">https://www.e-agropneu.cz/pneumatiky/52070-r34-148d-tl-vx-r-tractor-k56165.htm</t>
  </si>
  <si>
    <t xml:space="preserve">600/65R34 Bridgestone VX-R TRACTOR 151D/148E TL</t>
  </si>
  <si>
    <t xml:space="preserve">https://www.e-agropneu.cz/pneumatiky/60065-r34-151d-tl-vx-r-tractor-k55572.htm</t>
  </si>
  <si>
    <t xml:space="preserve">600/65R38 Bridgestone VX-R TRACTOR 153D/150E TL</t>
  </si>
  <si>
    <t xml:space="preserve">https://www.e-agropneu.cz/pneumatiky/60065-r38-153d-tl-vx-r-tractor-k55746.htm</t>
  </si>
  <si>
    <t xml:space="preserve">13.6R24 Bridgestone VX-TRACTOR 125D/122E TL</t>
  </si>
  <si>
    <t xml:space="preserve">13.6R24</t>
  </si>
  <si>
    <t xml:space="preserve">VX-TRACTOR</t>
  </si>
  <si>
    <t xml:space="preserve">14.9R24 Bridgestone VX-TRACTOR 137D/134E TL</t>
  </si>
  <si>
    <t xml:space="preserve">14.9R24</t>
  </si>
  <si>
    <t xml:space="preserve">380/70R24 Bridgestone VX-TRACTOR 130D/127E TL</t>
  </si>
  <si>
    <t xml:space="preserve">480/70R24 Bridgestone VX-TRACTOR 143D/140E TL</t>
  </si>
  <si>
    <t xml:space="preserve">480/70R24</t>
  </si>
  <si>
    <t xml:space="preserve">https://onlineshop.bohnenkamp.de/de/reifen-bridgestone-vx-tractor-480-70-r-24-10000484</t>
  </si>
  <si>
    <t xml:space="preserve">480/70R28 Bridgestone VX-TRACTOR 145D/142E TL</t>
  </si>
  <si>
    <t xml:space="preserve">540/65R38 Bridgestone VX-TRACTOR 153D/150E TL</t>
  </si>
  <si>
    <t xml:space="preserve">540/65R38</t>
  </si>
  <si>
    <t xml:space="preserve">https://onlineshop.bohnenkamp.de/de/reifen-bridgestone-vx-tractor-540-65-r-38-10000530</t>
  </si>
  <si>
    <t xml:space="preserve">Wypełnione</t>
  </si>
  <si>
    <t xml:space="preserve">Wszystkie</t>
  </si>
  <si>
    <t xml:space="preserve">% pokrycia</t>
  </si>
  <si>
    <t xml:space="preserve">RAZEM</t>
  </si>
  <si>
    <t xml:space="preserve">Bridgestone - wagi opon</t>
  </si>
  <si>
    <t xml:space="preserve">Data przygotowania: 2026-07-14</t>
  </si>
  <si>
    <t xml:space="preserve">Liczba pozycji: 105</t>
  </si>
  <si>
    <t xml:space="preserve">Wypełnione wagi: 83 (79.0%)</t>
  </si>
  <si>
    <t xml:space="preserve">Braki: 22</t>
  </si>
  <si>
    <t xml:space="preserve">Metodologia:</t>
  </si>
  <si>
    <t xml:space="preserve">- Klasyfikacja 105 pozycji Bridgestone na 33 serii</t>
  </si>
  <si>
    <t xml:space="preserve">- Zbieranie wag przez subagentów - priorytet oficjalnych PDF i dystrybutorów</t>
  </si>
  <si>
    <t xml:space="preserve">- Weryfikacja: waga = MASA opony (Net weight/Nettogewicht), nie nośność</t>
  </si>
  <si>
    <t xml:space="preserve">- Konwersja funtów: kg = lbs / 2.20462</t>
  </si>
  <si>
    <t xml:space="preserve">Źródła:</t>
  </si>
  <si>
    <t xml:space="preserve">1. bohnenkamp.de / .at / .ch / .pl (Nettogewicht)</t>
  </si>
  <si>
    <t xml:space="preserve">2. e-agropneu.cz (Hmotnost kola - filtruj zaślepki k68xxx!)</t>
  </si>
  <si>
    <t xml:space="preserve">3. heuver.com (Weight kg)</t>
  </si>
  <si>
    <t xml:space="preserve">4. Helios-BG, XL Pneus, RajPneu, gumiok.sk</t>
  </si>
  <si>
    <t xml:space="preserve">Pokrycie per grupa:</t>
  </si>
  <si>
    <t xml:space="preserve">- rolnicze (VX TRACTOR/VX-R TRACTOR/VT TRACTOR/PD1)</t>
  </si>
  <si>
    <t xml:space="preserve">- ciężarowe (RS2/RD2/RT1/M840/ECOPIA)</t>
  </si>
  <si>
    <t xml:space="preserve">Uwagi:</t>
  </si>
  <si>
    <t xml:space="preserve">- Filtrowane zaślepki e-agropneu (k68xxx z fałszywymi 150/200kg)</t>
  </si>
  <si>
    <t xml:space="preserve">- Odrzucone błędne dopasowania Mitas/Trelleborg (VH-IND, VT)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</si>
</sst>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BE9E7"/>
        <bgColor rgb="FFF1F8E9"/>
      </patternFill>
    </fill>
    <fill>
      <patternFill patternType="solid">
        <fgColor rgb="FFF1F8E9"/>
        <bgColor rgb="FFE0F2F1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/>
      <c r="H3" s="3"/>
    </row>
    <row r="4" customFormat="false" ht="15" hidden="false" customHeight="false" outlineLevel="0" collapsed="false">
      <c r="B4" s="2" t="n">
        <v>2</v>
      </c>
      <c r="C4" s="3" t="s">
        <v>11</v>
      </c>
      <c r="D4" s="2" t="s">
        <v>12</v>
      </c>
      <c r="E4" s="3" t="s">
        <v>13</v>
      </c>
      <c r="F4" s="3" t="s">
        <v>14</v>
      </c>
      <c r="G4" s="4"/>
      <c r="H4" s="3"/>
    </row>
    <row r="5" customFormat="false" ht="15" hidden="false" customHeight="false" outlineLevel="0" collapsed="false">
      <c r="B5" s="5" t="n">
        <v>3</v>
      </c>
      <c r="C5" s="6" t="s">
        <v>15</v>
      </c>
      <c r="D5" s="5" t="s">
        <v>8</v>
      </c>
      <c r="E5" s="6" t="s">
        <v>16</v>
      </c>
      <c r="F5" s="6" t="s">
        <v>17</v>
      </c>
      <c r="G5" s="7" t="n">
        <v>60.5</v>
      </c>
      <c r="H5" s="6" t="s">
        <v>18</v>
      </c>
    </row>
    <row r="6" customFormat="false" ht="15" hidden="false" customHeight="false" outlineLevel="0" collapsed="false">
      <c r="B6" s="2" t="n">
        <v>4</v>
      </c>
      <c r="C6" s="3" t="s">
        <v>19</v>
      </c>
      <c r="D6" s="2" t="s">
        <v>20</v>
      </c>
      <c r="E6" s="3" t="s">
        <v>21</v>
      </c>
      <c r="F6" s="3" t="s">
        <v>22</v>
      </c>
      <c r="G6" s="4"/>
      <c r="H6" s="3"/>
    </row>
    <row r="7" customFormat="false" ht="15" hidden="false" customHeight="false" outlineLevel="0" collapsed="false">
      <c r="B7" s="5" t="n">
        <v>5</v>
      </c>
      <c r="C7" s="6" t="s">
        <v>23</v>
      </c>
      <c r="D7" s="5" t="s">
        <v>24</v>
      </c>
      <c r="E7" s="6" t="s">
        <v>25</v>
      </c>
      <c r="F7" s="6" t="s">
        <v>26</v>
      </c>
      <c r="G7" s="7" t="n">
        <v>61.99</v>
      </c>
      <c r="H7" s="6" t="s">
        <v>27</v>
      </c>
    </row>
    <row r="8" customFormat="false" ht="15" hidden="false" customHeight="false" outlineLevel="0" collapsed="false">
      <c r="B8" s="5" t="n">
        <v>6</v>
      </c>
      <c r="C8" s="6" t="s">
        <v>28</v>
      </c>
      <c r="D8" s="5" t="s">
        <v>24</v>
      </c>
      <c r="E8" s="6" t="s">
        <v>25</v>
      </c>
      <c r="F8" s="6" t="s">
        <v>29</v>
      </c>
      <c r="G8" s="7" t="n">
        <v>61.99</v>
      </c>
      <c r="H8" s="6" t="s">
        <v>27</v>
      </c>
    </row>
    <row r="9" customFormat="false" ht="15" hidden="false" customHeight="false" outlineLevel="0" collapsed="false">
      <c r="B9" s="5" t="n">
        <v>7</v>
      </c>
      <c r="C9" s="6" t="s">
        <v>30</v>
      </c>
      <c r="D9" s="5" t="s">
        <v>31</v>
      </c>
      <c r="E9" s="6" t="s">
        <v>25</v>
      </c>
      <c r="F9" s="6" t="s">
        <v>32</v>
      </c>
      <c r="G9" s="7" t="n">
        <v>67.09</v>
      </c>
      <c r="H9" s="6" t="s">
        <v>33</v>
      </c>
    </row>
    <row r="10" customFormat="false" ht="15" hidden="false" customHeight="false" outlineLevel="0" collapsed="false">
      <c r="B10" s="2" t="n">
        <v>8</v>
      </c>
      <c r="C10" s="3" t="s">
        <v>34</v>
      </c>
      <c r="D10" s="2" t="s">
        <v>8</v>
      </c>
      <c r="E10" s="3" t="s">
        <v>35</v>
      </c>
      <c r="F10" s="3" t="s">
        <v>36</v>
      </c>
      <c r="G10" s="4"/>
      <c r="H10" s="3"/>
    </row>
    <row r="11" customFormat="false" ht="15" hidden="false" customHeight="false" outlineLevel="0" collapsed="false">
      <c r="B11" s="2" t="n">
        <v>9</v>
      </c>
      <c r="C11" s="3" t="s">
        <v>37</v>
      </c>
      <c r="D11" s="2" t="s">
        <v>38</v>
      </c>
      <c r="E11" s="3" t="s">
        <v>39</v>
      </c>
      <c r="F11" s="3" t="s">
        <v>40</v>
      </c>
      <c r="G11" s="4"/>
      <c r="H11" s="3"/>
    </row>
    <row r="12" customFormat="false" ht="15" hidden="false" customHeight="false" outlineLevel="0" collapsed="false">
      <c r="B12" s="2" t="n">
        <v>10</v>
      </c>
      <c r="C12" s="3" t="s">
        <v>41</v>
      </c>
      <c r="D12" s="2" t="s">
        <v>31</v>
      </c>
      <c r="E12" s="3" t="s">
        <v>42</v>
      </c>
      <c r="F12" s="3" t="s">
        <v>43</v>
      </c>
      <c r="G12" s="4"/>
      <c r="H12" s="3"/>
    </row>
    <row r="13" customFormat="false" ht="15" hidden="false" customHeight="false" outlineLevel="0" collapsed="false">
      <c r="B13" s="2" t="n">
        <v>11</v>
      </c>
      <c r="C13" s="3" t="s">
        <v>44</v>
      </c>
      <c r="D13" s="2" t="s">
        <v>45</v>
      </c>
      <c r="E13" s="3" t="s">
        <v>42</v>
      </c>
      <c r="F13" s="3" t="s">
        <v>46</v>
      </c>
      <c r="G13" s="4"/>
      <c r="H13" s="3"/>
    </row>
    <row r="14" customFormat="false" ht="15" hidden="false" customHeight="false" outlineLevel="0" collapsed="false">
      <c r="B14" s="5" t="n">
        <v>12</v>
      </c>
      <c r="C14" s="6" t="s">
        <v>47</v>
      </c>
      <c r="D14" s="5" t="s">
        <v>48</v>
      </c>
      <c r="E14" s="6" t="s">
        <v>49</v>
      </c>
      <c r="F14" s="6" t="s">
        <v>50</v>
      </c>
      <c r="G14" s="7" t="n">
        <v>81.43</v>
      </c>
      <c r="H14" s="6" t="s">
        <v>51</v>
      </c>
    </row>
    <row r="15" customFormat="false" ht="15" hidden="false" customHeight="false" outlineLevel="0" collapsed="false">
      <c r="B15" s="5" t="n">
        <v>13</v>
      </c>
      <c r="C15" s="6" t="s">
        <v>52</v>
      </c>
      <c r="D15" s="5" t="s">
        <v>48</v>
      </c>
      <c r="E15" s="6" t="s">
        <v>53</v>
      </c>
      <c r="F15" s="6" t="s">
        <v>50</v>
      </c>
      <c r="G15" s="7" t="n">
        <v>81.05</v>
      </c>
      <c r="H15" s="6" t="s">
        <v>54</v>
      </c>
    </row>
    <row r="16" customFormat="false" ht="15" hidden="false" customHeight="false" outlineLevel="0" collapsed="false">
      <c r="B16" s="5" t="n">
        <v>14</v>
      </c>
      <c r="C16" s="6" t="s">
        <v>55</v>
      </c>
      <c r="D16" s="5" t="s">
        <v>20</v>
      </c>
      <c r="E16" s="6" t="s">
        <v>56</v>
      </c>
      <c r="F16" s="6" t="s">
        <v>57</v>
      </c>
      <c r="G16" s="7" t="n">
        <v>78.34</v>
      </c>
      <c r="H16" s="6" t="s">
        <v>58</v>
      </c>
    </row>
    <row r="17" customFormat="false" ht="15" hidden="false" customHeight="false" outlineLevel="0" collapsed="false">
      <c r="B17" s="5" t="n">
        <v>15</v>
      </c>
      <c r="C17" s="6" t="s">
        <v>59</v>
      </c>
      <c r="D17" s="5" t="s">
        <v>60</v>
      </c>
      <c r="E17" s="6" t="s">
        <v>61</v>
      </c>
      <c r="F17" s="6" t="s">
        <v>62</v>
      </c>
      <c r="G17" s="7" t="n">
        <v>60.3</v>
      </c>
      <c r="H17" s="6" t="s">
        <v>63</v>
      </c>
    </row>
    <row r="18" customFormat="false" ht="15" hidden="false" customHeight="false" outlineLevel="0" collapsed="false">
      <c r="B18" s="2" t="n">
        <v>16</v>
      </c>
      <c r="C18" s="3" t="s">
        <v>64</v>
      </c>
      <c r="D18" s="2" t="s">
        <v>65</v>
      </c>
      <c r="E18" s="3" t="s">
        <v>66</v>
      </c>
      <c r="F18" s="3" t="s">
        <v>67</v>
      </c>
      <c r="G18" s="4"/>
      <c r="H18" s="3"/>
    </row>
    <row r="19" customFormat="false" ht="15" hidden="false" customHeight="false" outlineLevel="0" collapsed="false">
      <c r="B19" s="5" t="n">
        <v>17</v>
      </c>
      <c r="C19" s="6" t="s">
        <v>68</v>
      </c>
      <c r="D19" s="5" t="s">
        <v>69</v>
      </c>
      <c r="E19" s="6" t="s">
        <v>66</v>
      </c>
      <c r="F19" s="6" t="s">
        <v>70</v>
      </c>
      <c r="G19" s="7" t="n">
        <v>48</v>
      </c>
      <c r="H19" s="6" t="s">
        <v>71</v>
      </c>
    </row>
    <row r="20" customFormat="false" ht="15" hidden="false" customHeight="false" outlineLevel="0" collapsed="false">
      <c r="B20" s="5" t="n">
        <v>18</v>
      </c>
      <c r="C20" s="6" t="s">
        <v>72</v>
      </c>
      <c r="D20" s="5" t="s">
        <v>73</v>
      </c>
      <c r="E20" s="6" t="s">
        <v>66</v>
      </c>
      <c r="F20" s="6" t="s">
        <v>74</v>
      </c>
      <c r="G20" s="7" t="n">
        <v>59.99</v>
      </c>
      <c r="H20" s="6" t="s">
        <v>75</v>
      </c>
    </row>
    <row r="21" customFormat="false" ht="15" hidden="false" customHeight="false" outlineLevel="0" collapsed="false">
      <c r="B21" s="5" t="n">
        <v>19</v>
      </c>
      <c r="C21" s="6" t="s">
        <v>76</v>
      </c>
      <c r="D21" s="5" t="s">
        <v>48</v>
      </c>
      <c r="E21" s="6" t="s">
        <v>77</v>
      </c>
      <c r="F21" s="6" t="s">
        <v>78</v>
      </c>
      <c r="G21" s="7" t="n">
        <v>78.96</v>
      </c>
      <c r="H21" s="6" t="s">
        <v>79</v>
      </c>
    </row>
    <row r="22" customFormat="false" ht="15" hidden="false" customHeight="false" outlineLevel="0" collapsed="false">
      <c r="B22" s="2" t="n">
        <v>20</v>
      </c>
      <c r="C22" s="3" t="s">
        <v>80</v>
      </c>
      <c r="D22" s="2" t="s">
        <v>12</v>
      </c>
      <c r="E22" s="3" t="s">
        <v>81</v>
      </c>
      <c r="F22" s="3" t="s">
        <v>82</v>
      </c>
      <c r="G22" s="4"/>
      <c r="H22" s="3"/>
    </row>
    <row r="23" customFormat="false" ht="15" hidden="false" customHeight="false" outlineLevel="0" collapsed="false">
      <c r="B23" s="5" t="n">
        <v>21</v>
      </c>
      <c r="C23" s="6" t="s">
        <v>83</v>
      </c>
      <c r="D23" s="5" t="s">
        <v>48</v>
      </c>
      <c r="E23" s="6" t="s">
        <v>84</v>
      </c>
      <c r="F23" s="6" t="s">
        <v>85</v>
      </c>
      <c r="G23" s="7" t="n">
        <v>74.2</v>
      </c>
      <c r="H23" s="6" t="s">
        <v>86</v>
      </c>
    </row>
    <row r="24" customFormat="false" ht="15" hidden="false" customHeight="false" outlineLevel="0" collapsed="false">
      <c r="B24" s="2" t="n">
        <v>22</v>
      </c>
      <c r="C24" s="3" t="s">
        <v>87</v>
      </c>
      <c r="D24" s="2" t="s">
        <v>20</v>
      </c>
      <c r="E24" s="3" t="s">
        <v>88</v>
      </c>
      <c r="F24" s="3" t="s">
        <v>89</v>
      </c>
      <c r="G24" s="4"/>
      <c r="H24" s="3"/>
    </row>
    <row r="25" customFormat="false" ht="15" hidden="false" customHeight="false" outlineLevel="0" collapsed="false">
      <c r="B25" s="5" t="n">
        <v>23</v>
      </c>
      <c r="C25" s="6" t="s">
        <v>90</v>
      </c>
      <c r="D25" s="5" t="s">
        <v>91</v>
      </c>
      <c r="E25" s="6" t="s">
        <v>92</v>
      </c>
      <c r="F25" s="6" t="s">
        <v>93</v>
      </c>
      <c r="G25" s="7" t="n">
        <v>23.77</v>
      </c>
      <c r="H25" s="6" t="s">
        <v>94</v>
      </c>
    </row>
    <row r="26" customFormat="false" ht="15" hidden="false" customHeight="false" outlineLevel="0" collapsed="false">
      <c r="B26" s="5" t="n">
        <v>24</v>
      </c>
      <c r="C26" s="6" t="s">
        <v>95</v>
      </c>
      <c r="D26" s="5" t="s">
        <v>96</v>
      </c>
      <c r="E26" s="6" t="s">
        <v>92</v>
      </c>
      <c r="F26" s="6" t="s">
        <v>97</v>
      </c>
      <c r="G26" s="7" t="n">
        <v>62</v>
      </c>
      <c r="H26" s="6" t="s">
        <v>98</v>
      </c>
    </row>
    <row r="27" customFormat="false" ht="15" hidden="false" customHeight="false" outlineLevel="0" collapsed="false">
      <c r="B27" s="5" t="n">
        <v>25</v>
      </c>
      <c r="C27" s="6" t="s">
        <v>99</v>
      </c>
      <c r="D27" s="5" t="s">
        <v>100</v>
      </c>
      <c r="E27" s="6" t="s">
        <v>101</v>
      </c>
      <c r="F27" s="6" t="s">
        <v>102</v>
      </c>
      <c r="G27" s="7" t="n">
        <v>71.26</v>
      </c>
      <c r="H27" s="6" t="s">
        <v>103</v>
      </c>
    </row>
    <row r="28" customFormat="false" ht="15" hidden="false" customHeight="false" outlineLevel="0" collapsed="false">
      <c r="B28" s="5" t="n">
        <v>26</v>
      </c>
      <c r="C28" s="6" t="s">
        <v>104</v>
      </c>
      <c r="D28" s="5" t="s">
        <v>20</v>
      </c>
      <c r="E28" s="6" t="s">
        <v>105</v>
      </c>
      <c r="F28" s="6" t="s">
        <v>106</v>
      </c>
      <c r="G28" s="7" t="n">
        <v>75.3</v>
      </c>
      <c r="H28" s="6" t="s">
        <v>107</v>
      </c>
    </row>
    <row r="29" customFormat="false" ht="15" hidden="false" customHeight="false" outlineLevel="0" collapsed="false">
      <c r="B29" s="5" t="n">
        <v>27</v>
      </c>
      <c r="C29" s="6" t="s">
        <v>108</v>
      </c>
      <c r="D29" s="5" t="s">
        <v>109</v>
      </c>
      <c r="E29" s="6" t="s">
        <v>110</v>
      </c>
      <c r="F29" s="6" t="s">
        <v>111</v>
      </c>
      <c r="G29" s="7" t="n">
        <v>54.89</v>
      </c>
      <c r="H29" s="6" t="s">
        <v>112</v>
      </c>
    </row>
    <row r="30" customFormat="false" ht="15" hidden="false" customHeight="false" outlineLevel="0" collapsed="false">
      <c r="B30" s="2" t="n">
        <v>28</v>
      </c>
      <c r="C30" s="3" t="s">
        <v>113</v>
      </c>
      <c r="D30" s="2" t="s">
        <v>114</v>
      </c>
      <c r="E30" s="3" t="s">
        <v>115</v>
      </c>
      <c r="F30" s="3" t="s">
        <v>116</v>
      </c>
      <c r="G30" s="4"/>
      <c r="H30" s="3"/>
    </row>
    <row r="31" customFormat="false" ht="15" hidden="false" customHeight="false" outlineLevel="0" collapsed="false">
      <c r="B31" s="5" t="n">
        <v>29</v>
      </c>
      <c r="C31" s="6" t="s">
        <v>117</v>
      </c>
      <c r="D31" s="5" t="s">
        <v>118</v>
      </c>
      <c r="E31" s="6" t="s">
        <v>115</v>
      </c>
      <c r="F31" s="6" t="s">
        <v>119</v>
      </c>
      <c r="G31" s="7" t="n">
        <v>27.57</v>
      </c>
      <c r="H31" s="6" t="s">
        <v>120</v>
      </c>
    </row>
    <row r="32" customFormat="false" ht="15" hidden="false" customHeight="false" outlineLevel="0" collapsed="false">
      <c r="B32" s="5" t="n">
        <v>30</v>
      </c>
      <c r="C32" s="6" t="s">
        <v>121</v>
      </c>
      <c r="D32" s="5" t="s">
        <v>122</v>
      </c>
      <c r="E32" s="6" t="s">
        <v>115</v>
      </c>
      <c r="F32" s="6" t="s">
        <v>123</v>
      </c>
      <c r="G32" s="7" t="n">
        <v>35.83</v>
      </c>
      <c r="H32" s="6" t="s">
        <v>124</v>
      </c>
    </row>
    <row r="33" customFormat="false" ht="15" hidden="false" customHeight="false" outlineLevel="0" collapsed="false">
      <c r="B33" s="5" t="n">
        <v>31</v>
      </c>
      <c r="C33" s="6" t="s">
        <v>125</v>
      </c>
      <c r="D33" s="5" t="s">
        <v>126</v>
      </c>
      <c r="E33" s="6" t="s">
        <v>115</v>
      </c>
      <c r="F33" s="6" t="s">
        <v>127</v>
      </c>
      <c r="G33" s="7" t="n">
        <v>37.99</v>
      </c>
      <c r="H33" s="6" t="s">
        <v>128</v>
      </c>
    </row>
    <row r="34" customFormat="false" ht="15" hidden="false" customHeight="false" outlineLevel="0" collapsed="false">
      <c r="B34" s="5" t="n">
        <v>32</v>
      </c>
      <c r="C34" s="6" t="s">
        <v>129</v>
      </c>
      <c r="D34" s="5" t="s">
        <v>130</v>
      </c>
      <c r="E34" s="6" t="s">
        <v>115</v>
      </c>
      <c r="F34" s="6" t="s">
        <v>131</v>
      </c>
      <c r="G34" s="7" t="n">
        <v>43.06</v>
      </c>
      <c r="H34" s="6" t="s">
        <v>132</v>
      </c>
    </row>
    <row r="35" customFormat="false" ht="15" hidden="false" customHeight="false" outlineLevel="0" collapsed="false">
      <c r="B35" s="5" t="n">
        <v>33</v>
      </c>
      <c r="C35" s="6" t="s">
        <v>133</v>
      </c>
      <c r="D35" s="5" t="s">
        <v>109</v>
      </c>
      <c r="E35" s="6" t="s">
        <v>115</v>
      </c>
      <c r="F35" s="6" t="s">
        <v>134</v>
      </c>
      <c r="G35" s="7" t="n">
        <v>56.44</v>
      </c>
      <c r="H35" s="6" t="s">
        <v>135</v>
      </c>
    </row>
    <row r="36" customFormat="false" ht="15" hidden="false" customHeight="false" outlineLevel="0" collapsed="false">
      <c r="B36" s="2" t="n">
        <v>34</v>
      </c>
      <c r="C36" s="3" t="s">
        <v>136</v>
      </c>
      <c r="D36" s="2" t="s">
        <v>12</v>
      </c>
      <c r="E36" s="3" t="s">
        <v>115</v>
      </c>
      <c r="F36" s="3" t="s">
        <v>137</v>
      </c>
      <c r="G36" s="4"/>
      <c r="H36" s="3"/>
    </row>
    <row r="37" customFormat="false" ht="15" hidden="false" customHeight="false" outlineLevel="0" collapsed="false">
      <c r="B37" s="2" t="n">
        <v>35</v>
      </c>
      <c r="C37" s="3" t="s">
        <v>138</v>
      </c>
      <c r="D37" s="2" t="s">
        <v>24</v>
      </c>
      <c r="E37" s="3" t="s">
        <v>115</v>
      </c>
      <c r="F37" s="3" t="s">
        <v>139</v>
      </c>
      <c r="G37" s="4"/>
      <c r="H37" s="3"/>
    </row>
    <row r="38" customFormat="false" ht="15" hidden="false" customHeight="false" outlineLevel="0" collapsed="false">
      <c r="B38" s="5" t="n">
        <v>36</v>
      </c>
      <c r="C38" s="6" t="s">
        <v>140</v>
      </c>
      <c r="D38" s="5" t="s">
        <v>141</v>
      </c>
      <c r="E38" s="6" t="s">
        <v>142</v>
      </c>
      <c r="F38" s="6" t="s">
        <v>143</v>
      </c>
      <c r="G38" s="7" t="n">
        <v>25.28</v>
      </c>
      <c r="H38" s="6" t="s">
        <v>144</v>
      </c>
    </row>
    <row r="39" customFormat="false" ht="15" hidden="false" customHeight="false" outlineLevel="0" collapsed="false">
      <c r="B39" s="5" t="n">
        <v>37</v>
      </c>
      <c r="C39" s="6" t="s">
        <v>145</v>
      </c>
      <c r="D39" s="5" t="s">
        <v>118</v>
      </c>
      <c r="E39" s="6" t="s">
        <v>142</v>
      </c>
      <c r="F39" s="6" t="s">
        <v>146</v>
      </c>
      <c r="G39" s="7" t="n">
        <v>27.25</v>
      </c>
      <c r="H39" s="6" t="s">
        <v>147</v>
      </c>
    </row>
    <row r="40" customFormat="false" ht="15" hidden="false" customHeight="false" outlineLevel="0" collapsed="false">
      <c r="B40" s="5" t="n">
        <v>38</v>
      </c>
      <c r="C40" s="6" t="s">
        <v>148</v>
      </c>
      <c r="D40" s="5" t="s">
        <v>149</v>
      </c>
      <c r="E40" s="6" t="s">
        <v>142</v>
      </c>
      <c r="F40" s="6" t="s">
        <v>150</v>
      </c>
      <c r="G40" s="7" t="n">
        <v>29.21</v>
      </c>
      <c r="H40" s="6" t="s">
        <v>151</v>
      </c>
    </row>
    <row r="41" customFormat="false" ht="15" hidden="false" customHeight="false" outlineLevel="0" collapsed="false">
      <c r="B41" s="5" t="n">
        <v>39</v>
      </c>
      <c r="C41" s="6" t="s">
        <v>152</v>
      </c>
      <c r="D41" s="5" t="s">
        <v>153</v>
      </c>
      <c r="E41" s="6" t="s">
        <v>142</v>
      </c>
      <c r="F41" s="6" t="s">
        <v>154</v>
      </c>
      <c r="G41" s="7" t="n">
        <v>34.05</v>
      </c>
      <c r="H41" s="6" t="s">
        <v>155</v>
      </c>
    </row>
    <row r="42" customFormat="false" ht="15" hidden="false" customHeight="false" outlineLevel="0" collapsed="false">
      <c r="B42" s="5" t="n">
        <v>40</v>
      </c>
      <c r="C42" s="6" t="s">
        <v>156</v>
      </c>
      <c r="D42" s="5" t="s">
        <v>122</v>
      </c>
      <c r="E42" s="6" t="s">
        <v>142</v>
      </c>
      <c r="F42" s="6" t="s">
        <v>157</v>
      </c>
      <c r="G42" s="7" t="n">
        <v>34.34</v>
      </c>
      <c r="H42" s="6" t="s">
        <v>158</v>
      </c>
    </row>
    <row r="43" customFormat="false" ht="15" hidden="false" customHeight="false" outlineLevel="0" collapsed="false">
      <c r="B43" s="5" t="n">
        <v>41</v>
      </c>
      <c r="C43" s="6" t="s">
        <v>159</v>
      </c>
      <c r="D43" s="5" t="s">
        <v>126</v>
      </c>
      <c r="E43" s="6" t="s">
        <v>142</v>
      </c>
      <c r="F43" s="6" t="s">
        <v>160</v>
      </c>
      <c r="G43" s="7" t="n">
        <v>36.2</v>
      </c>
      <c r="H43" s="6" t="s">
        <v>161</v>
      </c>
    </row>
    <row r="44" customFormat="false" ht="15" hidden="false" customHeight="false" outlineLevel="0" collapsed="false">
      <c r="B44" s="5" t="n">
        <v>42</v>
      </c>
      <c r="C44" s="6" t="s">
        <v>162</v>
      </c>
      <c r="D44" s="5" t="s">
        <v>130</v>
      </c>
      <c r="E44" s="6" t="s">
        <v>142</v>
      </c>
      <c r="F44" s="6" t="s">
        <v>163</v>
      </c>
      <c r="G44" s="7" t="n">
        <v>42.34</v>
      </c>
      <c r="H44" s="6" t="s">
        <v>164</v>
      </c>
    </row>
    <row r="45" customFormat="false" ht="15" hidden="false" customHeight="false" outlineLevel="0" collapsed="false">
      <c r="B45" s="5" t="n">
        <v>43</v>
      </c>
      <c r="C45" s="6" t="s">
        <v>165</v>
      </c>
      <c r="D45" s="5" t="s">
        <v>12</v>
      </c>
      <c r="E45" s="6" t="s">
        <v>142</v>
      </c>
      <c r="F45" s="6" t="s">
        <v>166</v>
      </c>
      <c r="G45" s="7" t="n">
        <v>63.8</v>
      </c>
      <c r="H45" s="6" t="s">
        <v>167</v>
      </c>
    </row>
    <row r="46" customFormat="false" ht="15" hidden="false" customHeight="false" outlineLevel="0" collapsed="false">
      <c r="B46" s="5" t="n">
        <v>44</v>
      </c>
      <c r="C46" s="6" t="s">
        <v>168</v>
      </c>
      <c r="D46" s="5" t="s">
        <v>60</v>
      </c>
      <c r="E46" s="6" t="s">
        <v>142</v>
      </c>
      <c r="F46" s="6" t="s">
        <v>169</v>
      </c>
      <c r="G46" s="7" t="n">
        <v>65.6</v>
      </c>
      <c r="H46" s="6" t="s">
        <v>170</v>
      </c>
    </row>
    <row r="47" customFormat="false" ht="15" hidden="false" customHeight="false" outlineLevel="0" collapsed="false">
      <c r="B47" s="2" t="n">
        <v>45</v>
      </c>
      <c r="C47" s="3" t="s">
        <v>171</v>
      </c>
      <c r="D47" s="2" t="s">
        <v>24</v>
      </c>
      <c r="E47" s="3" t="s">
        <v>142</v>
      </c>
      <c r="F47" s="3" t="s">
        <v>169</v>
      </c>
      <c r="G47" s="4"/>
      <c r="H47" s="3"/>
    </row>
    <row r="48" customFormat="false" ht="15" hidden="false" customHeight="false" outlineLevel="0" collapsed="false">
      <c r="B48" s="2" t="n">
        <v>46</v>
      </c>
      <c r="C48" s="3" t="s">
        <v>172</v>
      </c>
      <c r="D48" s="2" t="s">
        <v>24</v>
      </c>
      <c r="E48" s="3" t="s">
        <v>142</v>
      </c>
      <c r="F48" s="3" t="s">
        <v>173</v>
      </c>
      <c r="G48" s="4"/>
      <c r="H48" s="3"/>
    </row>
    <row r="49" customFormat="false" ht="15" hidden="false" customHeight="false" outlineLevel="0" collapsed="false">
      <c r="B49" s="2" t="n">
        <v>47</v>
      </c>
      <c r="C49" s="3" t="s">
        <v>174</v>
      </c>
      <c r="D49" s="2" t="s">
        <v>31</v>
      </c>
      <c r="E49" s="3" t="s">
        <v>142</v>
      </c>
      <c r="F49" s="3" t="s">
        <v>175</v>
      </c>
      <c r="G49" s="4"/>
      <c r="H49" s="3"/>
    </row>
    <row r="50" customFormat="false" ht="15" hidden="false" customHeight="false" outlineLevel="0" collapsed="false">
      <c r="B50" s="5" t="n">
        <v>48</v>
      </c>
      <c r="C50" s="6" t="s">
        <v>176</v>
      </c>
      <c r="D50" s="5" t="s">
        <v>20</v>
      </c>
      <c r="E50" s="6" t="s">
        <v>142</v>
      </c>
      <c r="F50" s="6" t="s">
        <v>175</v>
      </c>
      <c r="G50" s="7" t="n">
        <v>79</v>
      </c>
      <c r="H50" s="6" t="s">
        <v>177</v>
      </c>
    </row>
    <row r="51" customFormat="false" ht="15" hidden="false" customHeight="false" outlineLevel="0" collapsed="false">
      <c r="B51" s="5" t="n">
        <v>49</v>
      </c>
      <c r="C51" s="6" t="s">
        <v>178</v>
      </c>
      <c r="D51" s="5" t="s">
        <v>179</v>
      </c>
      <c r="E51" s="6" t="s">
        <v>180</v>
      </c>
      <c r="F51" s="6" t="s">
        <v>181</v>
      </c>
      <c r="G51" s="7" t="n">
        <v>24.9</v>
      </c>
      <c r="H51" s="6" t="s">
        <v>182</v>
      </c>
    </row>
    <row r="52" customFormat="false" ht="15" hidden="false" customHeight="false" outlineLevel="0" collapsed="false">
      <c r="B52" s="5" t="n">
        <v>50</v>
      </c>
      <c r="C52" s="6" t="s">
        <v>183</v>
      </c>
      <c r="D52" s="5" t="s">
        <v>141</v>
      </c>
      <c r="E52" s="6" t="s">
        <v>180</v>
      </c>
      <c r="F52" s="6" t="s">
        <v>184</v>
      </c>
      <c r="G52" s="7" t="n">
        <v>29.94</v>
      </c>
      <c r="H52" s="6" t="s">
        <v>185</v>
      </c>
    </row>
    <row r="53" customFormat="false" ht="15" hidden="false" customHeight="false" outlineLevel="0" collapsed="false">
      <c r="B53" s="5" t="n">
        <v>51</v>
      </c>
      <c r="C53" s="6" t="s">
        <v>186</v>
      </c>
      <c r="D53" s="5" t="s">
        <v>149</v>
      </c>
      <c r="E53" s="6" t="s">
        <v>180</v>
      </c>
      <c r="F53" s="6" t="s">
        <v>187</v>
      </c>
      <c r="G53" s="7" t="n">
        <v>34.52</v>
      </c>
      <c r="H53" s="6" t="s">
        <v>188</v>
      </c>
    </row>
    <row r="54" customFormat="false" ht="15" hidden="false" customHeight="false" outlineLevel="0" collapsed="false">
      <c r="B54" s="5" t="n">
        <v>52</v>
      </c>
      <c r="C54" s="6" t="s">
        <v>189</v>
      </c>
      <c r="D54" s="5" t="s">
        <v>153</v>
      </c>
      <c r="E54" s="6" t="s">
        <v>180</v>
      </c>
      <c r="F54" s="6" t="s">
        <v>187</v>
      </c>
      <c r="G54" s="7" t="n">
        <v>33.75</v>
      </c>
      <c r="H54" s="6" t="s">
        <v>190</v>
      </c>
    </row>
    <row r="55" customFormat="false" ht="15" hidden="false" customHeight="false" outlineLevel="0" collapsed="false">
      <c r="B55" s="5" t="n">
        <v>53</v>
      </c>
      <c r="C55" s="6" t="s">
        <v>191</v>
      </c>
      <c r="D55" s="5" t="s">
        <v>192</v>
      </c>
      <c r="E55" s="6" t="s">
        <v>180</v>
      </c>
      <c r="F55" s="6" t="s">
        <v>193</v>
      </c>
      <c r="G55" s="7" t="n">
        <v>32.56</v>
      </c>
      <c r="H55" s="6" t="s">
        <v>194</v>
      </c>
    </row>
    <row r="56" customFormat="false" ht="15" hidden="false" customHeight="false" outlineLevel="0" collapsed="false">
      <c r="B56" s="5" t="n">
        <v>54</v>
      </c>
      <c r="C56" s="6" t="s">
        <v>195</v>
      </c>
      <c r="D56" s="5" t="s">
        <v>126</v>
      </c>
      <c r="E56" s="6" t="s">
        <v>180</v>
      </c>
      <c r="F56" s="6" t="s">
        <v>196</v>
      </c>
      <c r="G56" s="7" t="n">
        <v>42.35</v>
      </c>
      <c r="H56" s="6" t="s">
        <v>197</v>
      </c>
    </row>
    <row r="57" customFormat="false" ht="15" hidden="false" customHeight="false" outlineLevel="0" collapsed="false">
      <c r="B57" s="5" t="n">
        <v>55</v>
      </c>
      <c r="C57" s="6" t="s">
        <v>198</v>
      </c>
      <c r="D57" s="5" t="s">
        <v>31</v>
      </c>
      <c r="E57" s="6" t="s">
        <v>199</v>
      </c>
      <c r="F57" s="6" t="s">
        <v>200</v>
      </c>
      <c r="G57" s="7" t="n">
        <v>74.62</v>
      </c>
      <c r="H57" s="6" t="s">
        <v>201</v>
      </c>
    </row>
    <row r="58" customFormat="false" ht="15" hidden="false" customHeight="false" outlineLevel="0" collapsed="false">
      <c r="B58" s="5" t="n">
        <v>56</v>
      </c>
      <c r="C58" s="6" t="s">
        <v>202</v>
      </c>
      <c r="D58" s="5" t="s">
        <v>203</v>
      </c>
      <c r="E58" s="6" t="s">
        <v>204</v>
      </c>
      <c r="F58" s="6" t="s">
        <v>205</v>
      </c>
      <c r="G58" s="7" t="n">
        <v>57.23</v>
      </c>
      <c r="H58" s="6" t="s">
        <v>206</v>
      </c>
    </row>
    <row r="59" customFormat="false" ht="15" hidden="false" customHeight="false" outlineLevel="0" collapsed="false">
      <c r="B59" s="5" t="n">
        <v>57</v>
      </c>
      <c r="C59" s="6" t="s">
        <v>207</v>
      </c>
      <c r="D59" s="5" t="s">
        <v>203</v>
      </c>
      <c r="E59" s="6" t="s">
        <v>208</v>
      </c>
      <c r="F59" s="6" t="s">
        <v>209</v>
      </c>
      <c r="G59" s="7" t="n">
        <v>55.65</v>
      </c>
      <c r="H59" s="6" t="s">
        <v>210</v>
      </c>
    </row>
    <row r="60" customFormat="false" ht="15" hidden="false" customHeight="false" outlineLevel="0" collapsed="false">
      <c r="B60" s="2" t="n">
        <v>58</v>
      </c>
      <c r="C60" s="3" t="s">
        <v>211</v>
      </c>
      <c r="D60" s="2" t="s">
        <v>212</v>
      </c>
      <c r="E60" s="3" t="s">
        <v>213</v>
      </c>
      <c r="F60" s="3" t="s">
        <v>214</v>
      </c>
      <c r="G60" s="4"/>
      <c r="H60" s="3"/>
    </row>
    <row r="61" customFormat="false" ht="15" hidden="false" customHeight="false" outlineLevel="0" collapsed="false">
      <c r="B61" s="2" t="n">
        <v>59</v>
      </c>
      <c r="C61" s="3" t="s">
        <v>215</v>
      </c>
      <c r="D61" s="2" t="s">
        <v>216</v>
      </c>
      <c r="E61" s="3" t="s">
        <v>217</v>
      </c>
      <c r="F61" s="3" t="s">
        <v>218</v>
      </c>
      <c r="G61" s="4"/>
      <c r="H61" s="3"/>
    </row>
    <row r="62" customFormat="false" ht="15" hidden="false" customHeight="false" outlineLevel="0" collapsed="false">
      <c r="B62" s="5" t="n">
        <v>60</v>
      </c>
      <c r="C62" s="6" t="s">
        <v>219</v>
      </c>
      <c r="D62" s="5" t="s">
        <v>220</v>
      </c>
      <c r="E62" s="6" t="s">
        <v>221</v>
      </c>
      <c r="F62" s="6" t="s">
        <v>222</v>
      </c>
      <c r="G62" s="7" t="n">
        <v>98</v>
      </c>
      <c r="H62" s="6" t="s">
        <v>223</v>
      </c>
    </row>
    <row r="63" customFormat="false" ht="15" hidden="false" customHeight="false" outlineLevel="0" collapsed="false">
      <c r="B63" s="5" t="n">
        <v>61</v>
      </c>
      <c r="C63" s="6" t="s">
        <v>224</v>
      </c>
      <c r="D63" s="5" t="s">
        <v>225</v>
      </c>
      <c r="E63" s="6" t="s">
        <v>221</v>
      </c>
      <c r="F63" s="6" t="s">
        <v>226</v>
      </c>
      <c r="G63" s="7" t="n">
        <v>198.6</v>
      </c>
      <c r="H63" s="6" t="s">
        <v>227</v>
      </c>
    </row>
    <row r="64" customFormat="false" ht="15" hidden="false" customHeight="false" outlineLevel="0" collapsed="false">
      <c r="B64" s="5" t="n">
        <v>62</v>
      </c>
      <c r="C64" s="6" t="s">
        <v>228</v>
      </c>
      <c r="D64" s="5" t="s">
        <v>229</v>
      </c>
      <c r="E64" s="6" t="s">
        <v>221</v>
      </c>
      <c r="F64" s="6" t="s">
        <v>230</v>
      </c>
      <c r="G64" s="7" t="n">
        <v>167</v>
      </c>
      <c r="H64" s="6" t="s">
        <v>231</v>
      </c>
    </row>
    <row r="65" customFormat="false" ht="15" hidden="false" customHeight="false" outlineLevel="0" collapsed="false">
      <c r="B65" s="5" t="n">
        <v>63</v>
      </c>
      <c r="C65" s="6" t="s">
        <v>232</v>
      </c>
      <c r="D65" s="5" t="s">
        <v>233</v>
      </c>
      <c r="E65" s="6" t="s">
        <v>234</v>
      </c>
      <c r="F65" s="6" t="s">
        <v>235</v>
      </c>
      <c r="G65" s="7" t="n">
        <v>67.58</v>
      </c>
      <c r="H65" s="6" t="s">
        <v>236</v>
      </c>
    </row>
    <row r="66" customFormat="false" ht="15" hidden="false" customHeight="false" outlineLevel="0" collapsed="false">
      <c r="B66" s="5" t="n">
        <v>64</v>
      </c>
      <c r="C66" s="6" t="s">
        <v>237</v>
      </c>
      <c r="D66" s="5" t="s">
        <v>238</v>
      </c>
      <c r="E66" s="6" t="s">
        <v>234</v>
      </c>
      <c r="F66" s="6" t="s">
        <v>235</v>
      </c>
      <c r="G66" s="7" t="n">
        <v>75.89</v>
      </c>
      <c r="H66" s="6" t="s">
        <v>239</v>
      </c>
    </row>
    <row r="67" customFormat="false" ht="15" hidden="false" customHeight="false" outlineLevel="0" collapsed="false">
      <c r="B67" s="5" t="n">
        <v>65</v>
      </c>
      <c r="C67" s="6" t="s">
        <v>240</v>
      </c>
      <c r="D67" s="5" t="s">
        <v>241</v>
      </c>
      <c r="E67" s="6" t="s">
        <v>234</v>
      </c>
      <c r="F67" s="6" t="s">
        <v>242</v>
      </c>
      <c r="G67" s="7" t="n">
        <v>95.98</v>
      </c>
      <c r="H67" s="6" t="s">
        <v>243</v>
      </c>
    </row>
    <row r="68" customFormat="false" ht="15" hidden="false" customHeight="false" outlineLevel="0" collapsed="false">
      <c r="B68" s="5" t="n">
        <v>66</v>
      </c>
      <c r="C68" s="6" t="s">
        <v>244</v>
      </c>
      <c r="D68" s="5" t="s">
        <v>245</v>
      </c>
      <c r="E68" s="6" t="s">
        <v>234</v>
      </c>
      <c r="F68" s="6" t="s">
        <v>246</v>
      </c>
      <c r="G68" s="7" t="n">
        <v>87.1</v>
      </c>
      <c r="H68" s="6" t="s">
        <v>247</v>
      </c>
    </row>
    <row r="69" customFormat="false" ht="15" hidden="false" customHeight="false" outlineLevel="0" collapsed="false">
      <c r="B69" s="2" t="n">
        <v>67</v>
      </c>
      <c r="C69" s="3" t="s">
        <v>248</v>
      </c>
      <c r="D69" s="2" t="s">
        <v>249</v>
      </c>
      <c r="E69" s="3" t="s">
        <v>234</v>
      </c>
      <c r="F69" s="3" t="s">
        <v>250</v>
      </c>
      <c r="G69" s="4"/>
      <c r="H69" s="3"/>
    </row>
    <row r="70" customFormat="false" ht="15" hidden="false" customHeight="false" outlineLevel="0" collapsed="false">
      <c r="B70" s="5" t="n">
        <v>68</v>
      </c>
      <c r="C70" s="6" t="s">
        <v>251</v>
      </c>
      <c r="D70" s="5" t="s">
        <v>252</v>
      </c>
      <c r="E70" s="6" t="s">
        <v>234</v>
      </c>
      <c r="F70" s="6" t="s">
        <v>253</v>
      </c>
      <c r="G70" s="7" t="n">
        <v>117.19</v>
      </c>
      <c r="H70" s="6" t="s">
        <v>254</v>
      </c>
    </row>
    <row r="71" customFormat="false" ht="15" hidden="false" customHeight="false" outlineLevel="0" collapsed="false">
      <c r="B71" s="5" t="n">
        <v>69</v>
      </c>
      <c r="C71" s="6" t="s">
        <v>255</v>
      </c>
      <c r="D71" s="5" t="s">
        <v>256</v>
      </c>
      <c r="E71" s="6" t="s">
        <v>234</v>
      </c>
      <c r="F71" s="6" t="s">
        <v>257</v>
      </c>
      <c r="G71" s="7" t="n">
        <v>120.51</v>
      </c>
      <c r="H71" s="6" t="s">
        <v>258</v>
      </c>
    </row>
    <row r="72" customFormat="false" ht="15" hidden="false" customHeight="false" outlineLevel="0" collapsed="false">
      <c r="B72" s="5" t="n">
        <v>70</v>
      </c>
      <c r="C72" s="6" t="s">
        <v>259</v>
      </c>
      <c r="D72" s="5" t="s">
        <v>260</v>
      </c>
      <c r="E72" s="6" t="s">
        <v>234</v>
      </c>
      <c r="F72" s="6" t="s">
        <v>261</v>
      </c>
      <c r="G72" s="7" t="n">
        <v>137.08</v>
      </c>
      <c r="H72" s="6" t="s">
        <v>262</v>
      </c>
    </row>
    <row r="73" customFormat="false" ht="15" hidden="false" customHeight="false" outlineLevel="0" collapsed="false">
      <c r="B73" s="5" t="n">
        <v>71</v>
      </c>
      <c r="C73" s="6" t="s">
        <v>263</v>
      </c>
      <c r="D73" s="5" t="s">
        <v>264</v>
      </c>
      <c r="E73" s="6" t="s">
        <v>234</v>
      </c>
      <c r="F73" s="6" t="s">
        <v>265</v>
      </c>
      <c r="G73" s="7" t="n">
        <v>146.15</v>
      </c>
      <c r="H73" s="6" t="s">
        <v>266</v>
      </c>
    </row>
    <row r="74" customFormat="false" ht="15" hidden="false" customHeight="false" outlineLevel="0" collapsed="false">
      <c r="B74" s="5" t="n">
        <v>72</v>
      </c>
      <c r="C74" s="6" t="s">
        <v>267</v>
      </c>
      <c r="D74" s="5" t="s">
        <v>268</v>
      </c>
      <c r="E74" s="6" t="s">
        <v>234</v>
      </c>
      <c r="F74" s="6" t="s">
        <v>269</v>
      </c>
      <c r="G74" s="7" t="n">
        <v>82.67</v>
      </c>
      <c r="H74" s="6" t="s">
        <v>270</v>
      </c>
    </row>
    <row r="75" customFormat="false" ht="15" hidden="false" customHeight="false" outlineLevel="0" collapsed="false">
      <c r="B75" s="5" t="n">
        <v>73</v>
      </c>
      <c r="C75" s="6" t="s">
        <v>271</v>
      </c>
      <c r="D75" s="5" t="s">
        <v>272</v>
      </c>
      <c r="E75" s="6" t="s">
        <v>234</v>
      </c>
      <c r="F75" s="6" t="s">
        <v>273</v>
      </c>
      <c r="G75" s="7" t="n">
        <v>92.72</v>
      </c>
      <c r="H75" s="6" t="s">
        <v>274</v>
      </c>
    </row>
    <row r="76" customFormat="false" ht="15" hidden="false" customHeight="false" outlineLevel="0" collapsed="false">
      <c r="B76" s="5" t="n">
        <v>74</v>
      </c>
      <c r="C76" s="6" t="s">
        <v>275</v>
      </c>
      <c r="D76" s="5" t="s">
        <v>276</v>
      </c>
      <c r="E76" s="6" t="s">
        <v>234</v>
      </c>
      <c r="F76" s="6" t="s">
        <v>277</v>
      </c>
      <c r="G76" s="7" t="n">
        <v>167.11</v>
      </c>
      <c r="H76" s="6" t="s">
        <v>278</v>
      </c>
    </row>
    <row r="77" customFormat="false" ht="15" hidden="false" customHeight="false" outlineLevel="0" collapsed="false">
      <c r="B77" s="5" t="n">
        <v>75</v>
      </c>
      <c r="C77" s="6" t="s">
        <v>279</v>
      </c>
      <c r="D77" s="5" t="s">
        <v>280</v>
      </c>
      <c r="E77" s="6" t="s">
        <v>234</v>
      </c>
      <c r="F77" s="6" t="s">
        <v>281</v>
      </c>
      <c r="G77" s="7" t="n">
        <v>185.05</v>
      </c>
      <c r="H77" s="6" t="s">
        <v>282</v>
      </c>
    </row>
    <row r="78" customFormat="false" ht="15" hidden="false" customHeight="false" outlineLevel="0" collapsed="false">
      <c r="B78" s="5" t="n">
        <v>76</v>
      </c>
      <c r="C78" s="6" t="s">
        <v>283</v>
      </c>
      <c r="D78" s="5" t="s">
        <v>284</v>
      </c>
      <c r="E78" s="6" t="s">
        <v>234</v>
      </c>
      <c r="F78" s="6" t="s">
        <v>285</v>
      </c>
      <c r="G78" s="7" t="n">
        <v>198.97</v>
      </c>
      <c r="H78" s="6" t="s">
        <v>286</v>
      </c>
    </row>
    <row r="79" customFormat="false" ht="15" hidden="false" customHeight="false" outlineLevel="0" collapsed="false">
      <c r="B79" s="5" t="n">
        <v>77</v>
      </c>
      <c r="C79" s="6" t="s">
        <v>287</v>
      </c>
      <c r="D79" s="5" t="s">
        <v>288</v>
      </c>
      <c r="E79" s="6" t="s">
        <v>234</v>
      </c>
      <c r="F79" s="6" t="s">
        <v>257</v>
      </c>
      <c r="G79" s="7" t="n">
        <v>97.12</v>
      </c>
      <c r="H79" s="6" t="s">
        <v>289</v>
      </c>
    </row>
    <row r="80" customFormat="false" ht="15" hidden="false" customHeight="false" outlineLevel="0" collapsed="false">
      <c r="B80" s="5" t="n">
        <v>78</v>
      </c>
      <c r="C80" s="6" t="s">
        <v>290</v>
      </c>
      <c r="D80" s="5" t="s">
        <v>220</v>
      </c>
      <c r="E80" s="6" t="s">
        <v>234</v>
      </c>
      <c r="F80" s="6" t="s">
        <v>291</v>
      </c>
      <c r="G80" s="7" t="n">
        <v>108.58</v>
      </c>
      <c r="H80" s="6" t="s">
        <v>292</v>
      </c>
    </row>
    <row r="81" customFormat="false" ht="15" hidden="false" customHeight="false" outlineLevel="0" collapsed="false">
      <c r="B81" s="5" t="n">
        <v>79</v>
      </c>
      <c r="C81" s="6" t="s">
        <v>293</v>
      </c>
      <c r="D81" s="5" t="s">
        <v>294</v>
      </c>
      <c r="E81" s="6" t="s">
        <v>234</v>
      </c>
      <c r="F81" s="6" t="s">
        <v>257</v>
      </c>
      <c r="G81" s="7" t="n">
        <v>127.47</v>
      </c>
      <c r="H81" s="6" t="s">
        <v>295</v>
      </c>
    </row>
    <row r="82" customFormat="false" ht="15" hidden="false" customHeight="false" outlineLevel="0" collapsed="false">
      <c r="B82" s="5" t="n">
        <v>80</v>
      </c>
      <c r="C82" s="6" t="s">
        <v>296</v>
      </c>
      <c r="D82" s="5" t="s">
        <v>297</v>
      </c>
      <c r="E82" s="6" t="s">
        <v>234</v>
      </c>
      <c r="F82" s="6" t="s">
        <v>298</v>
      </c>
      <c r="G82" s="7" t="n">
        <v>148.17</v>
      </c>
      <c r="H82" s="6" t="s">
        <v>299</v>
      </c>
    </row>
    <row r="83" customFormat="false" ht="15" hidden="false" customHeight="false" outlineLevel="0" collapsed="false">
      <c r="B83" s="5" t="n">
        <v>81</v>
      </c>
      <c r="C83" s="6" t="s">
        <v>300</v>
      </c>
      <c r="D83" s="5" t="s">
        <v>301</v>
      </c>
      <c r="E83" s="6" t="s">
        <v>234</v>
      </c>
      <c r="F83" s="6" t="s">
        <v>302</v>
      </c>
      <c r="G83" s="7" t="n">
        <v>163.59</v>
      </c>
      <c r="H83" s="6" t="s">
        <v>303</v>
      </c>
    </row>
    <row r="84" customFormat="false" ht="15" hidden="false" customHeight="false" outlineLevel="0" collapsed="false">
      <c r="B84" s="2" t="n">
        <v>82</v>
      </c>
      <c r="C84" s="3" t="s">
        <v>304</v>
      </c>
      <c r="D84" s="2" t="s">
        <v>305</v>
      </c>
      <c r="E84" s="3" t="s">
        <v>234</v>
      </c>
      <c r="F84" s="3" t="s">
        <v>222</v>
      </c>
      <c r="G84" s="4"/>
      <c r="H84" s="3"/>
    </row>
    <row r="85" customFormat="false" ht="15" hidden="false" customHeight="false" outlineLevel="0" collapsed="false">
      <c r="B85" s="5" t="n">
        <v>83</v>
      </c>
      <c r="C85" s="6" t="s">
        <v>306</v>
      </c>
      <c r="D85" s="5" t="s">
        <v>307</v>
      </c>
      <c r="E85" s="6" t="s">
        <v>234</v>
      </c>
      <c r="F85" s="6" t="s">
        <v>308</v>
      </c>
      <c r="G85" s="7" t="n">
        <v>203.58</v>
      </c>
      <c r="H85" s="6" t="s">
        <v>309</v>
      </c>
    </row>
    <row r="86" customFormat="false" ht="15" hidden="false" customHeight="false" outlineLevel="0" collapsed="false">
      <c r="B86" s="5" t="n">
        <v>84</v>
      </c>
      <c r="C86" s="6" t="s">
        <v>310</v>
      </c>
      <c r="D86" s="5" t="s">
        <v>311</v>
      </c>
      <c r="E86" s="6" t="s">
        <v>234</v>
      </c>
      <c r="F86" s="6" t="s">
        <v>312</v>
      </c>
      <c r="G86" s="7" t="n">
        <v>226.59</v>
      </c>
      <c r="H86" s="6" t="s">
        <v>313</v>
      </c>
    </row>
    <row r="87" customFormat="false" ht="15" hidden="false" customHeight="false" outlineLevel="0" collapsed="false">
      <c r="B87" s="5" t="n">
        <v>85</v>
      </c>
      <c r="C87" s="6" t="s">
        <v>314</v>
      </c>
      <c r="D87" s="5" t="s">
        <v>315</v>
      </c>
      <c r="E87" s="6" t="s">
        <v>234</v>
      </c>
      <c r="F87" s="6" t="s">
        <v>261</v>
      </c>
      <c r="G87" s="7" t="n">
        <v>140.8</v>
      </c>
      <c r="H87" s="6" t="s">
        <v>316</v>
      </c>
    </row>
    <row r="88" customFormat="false" ht="15" hidden="false" customHeight="false" outlineLevel="0" collapsed="false">
      <c r="B88" s="5" t="n">
        <v>86</v>
      </c>
      <c r="C88" s="6" t="s">
        <v>317</v>
      </c>
      <c r="D88" s="5" t="s">
        <v>318</v>
      </c>
      <c r="E88" s="6" t="s">
        <v>234</v>
      </c>
      <c r="F88" s="6" t="s">
        <v>302</v>
      </c>
      <c r="G88" s="7" t="n">
        <v>156.16</v>
      </c>
      <c r="H88" s="6" t="s">
        <v>319</v>
      </c>
    </row>
    <row r="89" customFormat="false" ht="15" hidden="false" customHeight="false" outlineLevel="0" collapsed="false">
      <c r="B89" s="5" t="n">
        <v>87</v>
      </c>
      <c r="C89" s="6" t="s">
        <v>320</v>
      </c>
      <c r="D89" s="5" t="s">
        <v>321</v>
      </c>
      <c r="E89" s="6" t="s">
        <v>234</v>
      </c>
      <c r="F89" s="6" t="s">
        <v>312</v>
      </c>
      <c r="G89" s="7" t="n">
        <v>248.12</v>
      </c>
      <c r="H89" s="6" t="s">
        <v>322</v>
      </c>
    </row>
    <row r="90" customFormat="false" ht="15" hidden="false" customHeight="false" outlineLevel="0" collapsed="false">
      <c r="B90" s="5" t="n">
        <v>88</v>
      </c>
      <c r="C90" s="6" t="s">
        <v>323</v>
      </c>
      <c r="D90" s="5" t="s">
        <v>324</v>
      </c>
      <c r="E90" s="6" t="s">
        <v>234</v>
      </c>
      <c r="F90" s="6" t="s">
        <v>325</v>
      </c>
      <c r="G90" s="7" t="n">
        <v>257.67</v>
      </c>
      <c r="H90" s="6" t="s">
        <v>326</v>
      </c>
    </row>
    <row r="91" customFormat="false" ht="15" hidden="false" customHeight="false" outlineLevel="0" collapsed="false">
      <c r="B91" s="5" t="n">
        <v>89</v>
      </c>
      <c r="C91" s="6" t="s">
        <v>327</v>
      </c>
      <c r="D91" s="5" t="s">
        <v>328</v>
      </c>
      <c r="E91" s="6" t="s">
        <v>234</v>
      </c>
      <c r="F91" s="6" t="s">
        <v>329</v>
      </c>
      <c r="G91" s="7" t="n">
        <v>201.46</v>
      </c>
      <c r="H91" s="6" t="s">
        <v>330</v>
      </c>
    </row>
    <row r="92" customFormat="false" ht="15" hidden="false" customHeight="false" outlineLevel="0" collapsed="false">
      <c r="B92" s="5" t="n">
        <v>90</v>
      </c>
      <c r="C92" s="6" t="s">
        <v>331</v>
      </c>
      <c r="D92" s="5" t="s">
        <v>332</v>
      </c>
      <c r="E92" s="6" t="s">
        <v>234</v>
      </c>
      <c r="F92" s="6" t="s">
        <v>333</v>
      </c>
      <c r="G92" s="7" t="n">
        <v>231.16</v>
      </c>
      <c r="H92" s="6" t="s">
        <v>334</v>
      </c>
    </row>
    <row r="93" customFormat="false" ht="15" hidden="false" customHeight="false" outlineLevel="0" collapsed="false">
      <c r="B93" s="5" t="n">
        <v>91</v>
      </c>
      <c r="C93" s="6" t="s">
        <v>335</v>
      </c>
      <c r="D93" s="5" t="s">
        <v>336</v>
      </c>
      <c r="E93" s="6" t="s">
        <v>234</v>
      </c>
      <c r="F93" s="6" t="s">
        <v>337</v>
      </c>
      <c r="G93" s="7" t="n">
        <v>266.85</v>
      </c>
      <c r="H93" s="6" t="s">
        <v>338</v>
      </c>
    </row>
    <row r="94" customFormat="false" ht="15" hidden="false" customHeight="false" outlineLevel="0" collapsed="false">
      <c r="B94" s="5" t="n">
        <v>92</v>
      </c>
      <c r="C94" s="6" t="s">
        <v>339</v>
      </c>
      <c r="D94" s="5" t="s">
        <v>340</v>
      </c>
      <c r="E94" s="6" t="s">
        <v>341</v>
      </c>
      <c r="F94" s="6" t="s">
        <v>342</v>
      </c>
      <c r="G94" s="7" t="n">
        <v>72</v>
      </c>
      <c r="H94" s="6" t="s">
        <v>343</v>
      </c>
    </row>
    <row r="95" customFormat="false" ht="15" hidden="false" customHeight="false" outlineLevel="0" collapsed="false">
      <c r="B95" s="5" t="n">
        <v>93</v>
      </c>
      <c r="C95" s="6" t="s">
        <v>344</v>
      </c>
      <c r="D95" s="5" t="s">
        <v>238</v>
      </c>
      <c r="E95" s="6" t="s">
        <v>341</v>
      </c>
      <c r="F95" s="6" t="s">
        <v>235</v>
      </c>
      <c r="G95" s="7" t="n">
        <v>77</v>
      </c>
      <c r="H95" s="6" t="s">
        <v>345</v>
      </c>
    </row>
    <row r="96" customFormat="false" ht="15" hidden="false" customHeight="false" outlineLevel="0" collapsed="false">
      <c r="B96" s="5" t="n">
        <v>94</v>
      </c>
      <c r="C96" s="6" t="s">
        <v>346</v>
      </c>
      <c r="D96" s="5" t="s">
        <v>241</v>
      </c>
      <c r="E96" s="6" t="s">
        <v>341</v>
      </c>
      <c r="F96" s="6" t="s">
        <v>242</v>
      </c>
      <c r="G96" s="7" t="n">
        <v>89</v>
      </c>
      <c r="H96" s="6" t="s">
        <v>347</v>
      </c>
    </row>
    <row r="97" customFormat="false" ht="15" hidden="false" customHeight="false" outlineLevel="0" collapsed="false">
      <c r="B97" s="5" t="n">
        <v>95</v>
      </c>
      <c r="C97" s="6" t="s">
        <v>348</v>
      </c>
      <c r="D97" s="5" t="s">
        <v>349</v>
      </c>
      <c r="E97" s="6" t="s">
        <v>341</v>
      </c>
      <c r="F97" s="6" t="s">
        <v>242</v>
      </c>
      <c r="G97" s="7" t="n">
        <v>96</v>
      </c>
      <c r="H97" s="6" t="s">
        <v>350</v>
      </c>
    </row>
    <row r="98" customFormat="false" ht="15" hidden="false" customHeight="false" outlineLevel="0" collapsed="false">
      <c r="B98" s="5" t="n">
        <v>96</v>
      </c>
      <c r="C98" s="6" t="s">
        <v>351</v>
      </c>
      <c r="D98" s="5" t="s">
        <v>288</v>
      </c>
      <c r="E98" s="6" t="s">
        <v>341</v>
      </c>
      <c r="F98" s="6" t="s">
        <v>242</v>
      </c>
      <c r="G98" s="7" t="n">
        <v>94</v>
      </c>
      <c r="H98" s="6" t="s">
        <v>352</v>
      </c>
    </row>
    <row r="99" customFormat="false" ht="15" hidden="false" customHeight="false" outlineLevel="0" collapsed="false">
      <c r="B99" s="5" t="n">
        <v>97</v>
      </c>
      <c r="C99" s="6" t="s">
        <v>353</v>
      </c>
      <c r="D99" s="5" t="s">
        <v>305</v>
      </c>
      <c r="E99" s="6" t="s">
        <v>341</v>
      </c>
      <c r="F99" s="6" t="s">
        <v>222</v>
      </c>
      <c r="G99" s="7" t="n">
        <v>162</v>
      </c>
      <c r="H99" s="6" t="s">
        <v>354</v>
      </c>
    </row>
    <row r="100" customFormat="false" ht="15" hidden="false" customHeight="false" outlineLevel="0" collapsed="false">
      <c r="B100" s="5" t="n">
        <v>98</v>
      </c>
      <c r="C100" s="6" t="s">
        <v>355</v>
      </c>
      <c r="D100" s="5" t="s">
        <v>328</v>
      </c>
      <c r="E100" s="6" t="s">
        <v>341</v>
      </c>
      <c r="F100" s="6" t="s">
        <v>329</v>
      </c>
      <c r="G100" s="7" t="n">
        <v>190</v>
      </c>
      <c r="H100" s="6" t="s">
        <v>356</v>
      </c>
    </row>
    <row r="101" customFormat="false" ht="15" hidden="false" customHeight="false" outlineLevel="0" collapsed="false">
      <c r="B101" s="5" t="n">
        <v>99</v>
      </c>
      <c r="C101" s="6" t="s">
        <v>357</v>
      </c>
      <c r="D101" s="5" t="s">
        <v>332</v>
      </c>
      <c r="E101" s="6" t="s">
        <v>341</v>
      </c>
      <c r="F101" s="6" t="s">
        <v>333</v>
      </c>
      <c r="G101" s="7" t="n">
        <v>214</v>
      </c>
      <c r="H101" s="6" t="s">
        <v>358</v>
      </c>
    </row>
    <row r="102" customFormat="false" ht="15" hidden="false" customHeight="false" outlineLevel="0" collapsed="false">
      <c r="B102" s="2" t="n">
        <v>100</v>
      </c>
      <c r="C102" s="3" t="s">
        <v>359</v>
      </c>
      <c r="D102" s="2" t="s">
        <v>360</v>
      </c>
      <c r="E102" s="3" t="s">
        <v>361</v>
      </c>
      <c r="F102" s="3" t="s">
        <v>235</v>
      </c>
      <c r="G102" s="4"/>
      <c r="H102" s="3"/>
    </row>
    <row r="103" customFormat="false" ht="15" hidden="false" customHeight="false" outlineLevel="0" collapsed="false">
      <c r="B103" s="2" t="n">
        <v>101</v>
      </c>
      <c r="C103" s="3" t="s">
        <v>362</v>
      </c>
      <c r="D103" s="2" t="s">
        <v>363</v>
      </c>
      <c r="E103" s="3" t="s">
        <v>361</v>
      </c>
      <c r="F103" s="3" t="s">
        <v>250</v>
      </c>
      <c r="G103" s="4"/>
      <c r="H103" s="3"/>
    </row>
    <row r="104" customFormat="false" ht="15" hidden="false" customHeight="false" outlineLevel="0" collapsed="false">
      <c r="B104" s="5" t="n">
        <v>102</v>
      </c>
      <c r="C104" s="6" t="s">
        <v>364</v>
      </c>
      <c r="D104" s="5" t="s">
        <v>238</v>
      </c>
      <c r="E104" s="6" t="s">
        <v>361</v>
      </c>
      <c r="F104" s="6" t="s">
        <v>246</v>
      </c>
      <c r="G104" s="7" t="n">
        <v>75.89</v>
      </c>
      <c r="H104" s="6" t="s">
        <v>239</v>
      </c>
    </row>
    <row r="105" customFormat="false" ht="15" hidden="false" customHeight="false" outlineLevel="0" collapsed="false">
      <c r="B105" s="5" t="n">
        <v>103</v>
      </c>
      <c r="C105" s="6" t="s">
        <v>365</v>
      </c>
      <c r="D105" s="5" t="s">
        <v>366</v>
      </c>
      <c r="E105" s="6" t="s">
        <v>361</v>
      </c>
      <c r="F105" s="6" t="s">
        <v>298</v>
      </c>
      <c r="G105" s="7" t="n">
        <v>113.42</v>
      </c>
      <c r="H105" s="6" t="s">
        <v>367</v>
      </c>
    </row>
    <row r="106" customFormat="false" ht="15" hidden="false" customHeight="false" outlineLevel="0" collapsed="false">
      <c r="B106" s="5" t="n">
        <v>104</v>
      </c>
      <c r="C106" s="6" t="s">
        <v>368</v>
      </c>
      <c r="D106" s="5" t="s">
        <v>294</v>
      </c>
      <c r="E106" s="6" t="s">
        <v>361</v>
      </c>
      <c r="F106" s="6" t="s">
        <v>302</v>
      </c>
      <c r="G106" s="7" t="n">
        <v>127.47</v>
      </c>
      <c r="H106" s="6" t="s">
        <v>295</v>
      </c>
    </row>
    <row r="107" customFormat="false" ht="15" hidden="false" customHeight="false" outlineLevel="0" collapsed="false">
      <c r="B107" s="5" t="n">
        <v>105</v>
      </c>
      <c r="C107" s="6" t="s">
        <v>369</v>
      </c>
      <c r="D107" s="5" t="s">
        <v>370</v>
      </c>
      <c r="E107" s="6" t="s">
        <v>361</v>
      </c>
      <c r="F107" s="6" t="s">
        <v>333</v>
      </c>
      <c r="G107" s="7" t="n">
        <v>172.77</v>
      </c>
      <c r="H107" s="6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372</v>
      </c>
      <c r="D2" s="8" t="s">
        <v>373</v>
      </c>
      <c r="E2" s="8" t="s">
        <v>374</v>
      </c>
    </row>
    <row r="3" customFormat="false" ht="15" hidden="false" customHeight="false" outlineLevel="0" collapsed="false">
      <c r="B3" s="9" t="s">
        <v>234</v>
      </c>
      <c r="C3" s="10" t="n">
        <v>27</v>
      </c>
      <c r="D3" s="10" t="n">
        <v>29</v>
      </c>
      <c r="E3" s="11" t="n">
        <f aca="false">C3/D3</f>
        <v>0.931034482758621</v>
      </c>
    </row>
    <row r="4" customFormat="false" ht="15" hidden="false" customHeight="false" outlineLevel="0" collapsed="false">
      <c r="B4" s="9" t="s">
        <v>142</v>
      </c>
      <c r="C4" s="10" t="n">
        <v>10</v>
      </c>
      <c r="D4" s="10" t="n">
        <v>13</v>
      </c>
      <c r="E4" s="11" t="n">
        <f aca="false">C4/D4</f>
        <v>0.769230769230769</v>
      </c>
    </row>
    <row r="5" customFormat="false" ht="15" hidden="false" customHeight="false" outlineLevel="0" collapsed="false">
      <c r="B5" s="9" t="s">
        <v>115</v>
      </c>
      <c r="C5" s="10" t="n">
        <v>5</v>
      </c>
      <c r="D5" s="10" t="n">
        <v>8</v>
      </c>
      <c r="E5" s="11" t="n">
        <f aca="false">C5/D5</f>
        <v>0.625</v>
      </c>
    </row>
    <row r="6" customFormat="false" ht="15" hidden="false" customHeight="false" outlineLevel="0" collapsed="false">
      <c r="B6" s="9" t="s">
        <v>341</v>
      </c>
      <c r="C6" s="10" t="n">
        <v>8</v>
      </c>
      <c r="D6" s="10" t="n">
        <v>8</v>
      </c>
      <c r="E6" s="11" t="n">
        <f aca="false">C6/D6</f>
        <v>1</v>
      </c>
    </row>
    <row r="7" customFormat="false" ht="15" hidden="false" customHeight="false" outlineLevel="0" collapsed="false">
      <c r="B7" s="9" t="s">
        <v>180</v>
      </c>
      <c r="C7" s="10" t="n">
        <v>6</v>
      </c>
      <c r="D7" s="10" t="n">
        <v>6</v>
      </c>
      <c r="E7" s="11" t="n">
        <f aca="false">C7/D7</f>
        <v>1</v>
      </c>
    </row>
    <row r="8" customFormat="false" ht="15" hidden="false" customHeight="false" outlineLevel="0" collapsed="false">
      <c r="B8" s="9" t="s">
        <v>361</v>
      </c>
      <c r="C8" s="10" t="n">
        <v>4</v>
      </c>
      <c r="D8" s="10" t="n">
        <v>6</v>
      </c>
      <c r="E8" s="11" t="n">
        <f aca="false">C8/D8</f>
        <v>0.666666666666667</v>
      </c>
    </row>
    <row r="9" customFormat="false" ht="15" hidden="false" customHeight="false" outlineLevel="0" collapsed="false">
      <c r="B9" s="9" t="s">
        <v>66</v>
      </c>
      <c r="C9" s="10" t="n">
        <v>2</v>
      </c>
      <c r="D9" s="10" t="n">
        <v>3</v>
      </c>
      <c r="E9" s="11" t="n">
        <f aca="false">C9/D9</f>
        <v>0.666666666666667</v>
      </c>
    </row>
    <row r="10" customFormat="false" ht="15" hidden="false" customHeight="false" outlineLevel="0" collapsed="false">
      <c r="B10" s="9" t="s">
        <v>25</v>
      </c>
      <c r="C10" s="10" t="n">
        <v>3</v>
      </c>
      <c r="D10" s="10" t="n">
        <v>3</v>
      </c>
      <c r="E10" s="11" t="n">
        <f aca="false">C10/D10</f>
        <v>1</v>
      </c>
    </row>
    <row r="11" customFormat="false" ht="15" hidden="false" customHeight="false" outlineLevel="0" collapsed="false">
      <c r="B11" s="9" t="s">
        <v>221</v>
      </c>
      <c r="C11" s="10" t="n">
        <v>3</v>
      </c>
      <c r="D11" s="10" t="n">
        <v>3</v>
      </c>
      <c r="E11" s="11" t="n">
        <f aca="false">C11/D11</f>
        <v>1</v>
      </c>
    </row>
    <row r="12" customFormat="false" ht="15" hidden="false" customHeight="false" outlineLevel="0" collapsed="false">
      <c r="B12" s="9" t="s">
        <v>92</v>
      </c>
      <c r="C12" s="10" t="n">
        <v>2</v>
      </c>
      <c r="D12" s="10" t="n">
        <v>2</v>
      </c>
      <c r="E12" s="11" t="n">
        <f aca="false">C12/D12</f>
        <v>1</v>
      </c>
    </row>
    <row r="13" customFormat="false" ht="15" hidden="false" customHeight="false" outlineLevel="0" collapsed="false">
      <c r="B13" s="9" t="s">
        <v>42</v>
      </c>
      <c r="C13" s="10" t="n">
        <v>0</v>
      </c>
      <c r="D13" s="10" t="n">
        <v>2</v>
      </c>
      <c r="E13" s="11" t="n">
        <f aca="false">C13/D13</f>
        <v>0</v>
      </c>
    </row>
    <row r="14" customFormat="false" ht="15" hidden="false" customHeight="false" outlineLevel="0" collapsed="false">
      <c r="B14" s="9" t="s">
        <v>217</v>
      </c>
      <c r="C14" s="10" t="n">
        <v>0</v>
      </c>
      <c r="D14" s="10" t="n">
        <v>1</v>
      </c>
      <c r="E14" s="11" t="n">
        <f aca="false">C14/D14</f>
        <v>0</v>
      </c>
    </row>
    <row r="15" customFormat="false" ht="15" hidden="false" customHeight="false" outlineLevel="0" collapsed="false">
      <c r="B15" s="9" t="s">
        <v>208</v>
      </c>
      <c r="C15" s="10" t="n">
        <v>1</v>
      </c>
      <c r="D15" s="10" t="n">
        <v>1</v>
      </c>
      <c r="E15" s="11" t="n">
        <f aca="false">C15/D15</f>
        <v>1</v>
      </c>
    </row>
    <row r="16" customFormat="false" ht="15" hidden="false" customHeight="false" outlineLevel="0" collapsed="false">
      <c r="B16" s="9" t="s">
        <v>204</v>
      </c>
      <c r="C16" s="10" t="n">
        <v>1</v>
      </c>
      <c r="D16" s="10" t="n">
        <v>1</v>
      </c>
      <c r="E16" s="11" t="n">
        <f aca="false">C16/D16</f>
        <v>1</v>
      </c>
    </row>
    <row r="17" customFormat="false" ht="15" hidden="false" customHeight="false" outlineLevel="0" collapsed="false">
      <c r="B17" s="9" t="s">
        <v>49</v>
      </c>
      <c r="C17" s="10" t="n">
        <v>1</v>
      </c>
      <c r="D17" s="10" t="n">
        <v>1</v>
      </c>
      <c r="E17" s="11" t="n">
        <f aca="false">C17/D17</f>
        <v>1</v>
      </c>
    </row>
    <row r="18" customFormat="false" ht="15" hidden="false" customHeight="false" outlineLevel="0" collapsed="false">
      <c r="B18" s="9" t="s">
        <v>105</v>
      </c>
      <c r="C18" s="10" t="n">
        <v>1</v>
      </c>
      <c r="D18" s="10" t="n">
        <v>1</v>
      </c>
      <c r="E18" s="11" t="n">
        <f aca="false">C18/D18</f>
        <v>1</v>
      </c>
    </row>
    <row r="19" customFormat="false" ht="15" hidden="false" customHeight="false" outlineLevel="0" collapsed="false">
      <c r="B19" s="9" t="s">
        <v>61</v>
      </c>
      <c r="C19" s="10" t="n">
        <v>1</v>
      </c>
      <c r="D19" s="10" t="n">
        <v>1</v>
      </c>
      <c r="E19" s="11" t="n">
        <f aca="false">C19/D19</f>
        <v>1</v>
      </c>
    </row>
    <row r="20" customFormat="false" ht="15" hidden="false" customHeight="false" outlineLevel="0" collapsed="false">
      <c r="B20" s="9" t="s">
        <v>110</v>
      </c>
      <c r="C20" s="10" t="n">
        <v>1</v>
      </c>
      <c r="D20" s="10" t="n">
        <v>1</v>
      </c>
      <c r="E20" s="11" t="n">
        <f aca="false">C20/D20</f>
        <v>1</v>
      </c>
    </row>
    <row r="21" customFormat="false" ht="15" hidden="false" customHeight="false" outlineLevel="0" collapsed="false">
      <c r="B21" s="9" t="s">
        <v>13</v>
      </c>
      <c r="C21" s="10" t="n">
        <v>0</v>
      </c>
      <c r="D21" s="10" t="n">
        <v>1</v>
      </c>
      <c r="E21" s="11" t="n">
        <f aca="false">C21/D21</f>
        <v>0</v>
      </c>
    </row>
    <row r="22" customFormat="false" ht="15" hidden="false" customHeight="false" outlineLevel="0" collapsed="false">
      <c r="B22" s="9" t="s">
        <v>88</v>
      </c>
      <c r="C22" s="10" t="n">
        <v>0</v>
      </c>
      <c r="D22" s="10" t="n">
        <v>1</v>
      </c>
      <c r="E22" s="11" t="n">
        <f aca="false">C22/D22</f>
        <v>0</v>
      </c>
    </row>
    <row r="23" customFormat="false" ht="15" hidden="false" customHeight="false" outlineLevel="0" collapsed="false">
      <c r="B23" s="9" t="s">
        <v>16</v>
      </c>
      <c r="C23" s="10" t="n">
        <v>1</v>
      </c>
      <c r="D23" s="10" t="n">
        <v>1</v>
      </c>
      <c r="E23" s="11" t="n">
        <f aca="false">C23/D23</f>
        <v>1</v>
      </c>
    </row>
    <row r="24" customFormat="false" ht="15" hidden="false" customHeight="false" outlineLevel="0" collapsed="false">
      <c r="B24" s="9" t="s">
        <v>77</v>
      </c>
      <c r="C24" s="10" t="n">
        <v>1</v>
      </c>
      <c r="D24" s="10" t="n">
        <v>1</v>
      </c>
      <c r="E24" s="11" t="n">
        <f aca="false">C24/D24</f>
        <v>1</v>
      </c>
    </row>
    <row r="25" customFormat="false" ht="15" hidden="false" customHeight="false" outlineLevel="0" collapsed="false">
      <c r="B25" s="9" t="s">
        <v>84</v>
      </c>
      <c r="C25" s="10" t="n">
        <v>1</v>
      </c>
      <c r="D25" s="10" t="n">
        <v>1</v>
      </c>
      <c r="E25" s="11" t="n">
        <f aca="false">C25/D25</f>
        <v>1</v>
      </c>
    </row>
    <row r="26" customFormat="false" ht="15" hidden="false" customHeight="false" outlineLevel="0" collapsed="false">
      <c r="B26" s="9" t="s">
        <v>81</v>
      </c>
      <c r="C26" s="10" t="n">
        <v>0</v>
      </c>
      <c r="D26" s="10" t="n">
        <v>1</v>
      </c>
      <c r="E26" s="11" t="n">
        <f aca="false">C26/D26</f>
        <v>0</v>
      </c>
    </row>
    <row r="27" customFormat="false" ht="15" hidden="false" customHeight="false" outlineLevel="0" collapsed="false">
      <c r="B27" s="9" t="s">
        <v>35</v>
      </c>
      <c r="C27" s="10" t="n">
        <v>0</v>
      </c>
      <c r="D27" s="10" t="n">
        <v>1</v>
      </c>
      <c r="E27" s="11" t="n">
        <f aca="false">C27/D27</f>
        <v>0</v>
      </c>
    </row>
    <row r="28" customFormat="false" ht="15" hidden="false" customHeight="false" outlineLevel="0" collapsed="false">
      <c r="B28" s="9" t="s">
        <v>21</v>
      </c>
      <c r="C28" s="10" t="n">
        <v>0</v>
      </c>
      <c r="D28" s="10" t="n">
        <v>1</v>
      </c>
      <c r="E28" s="11" t="n">
        <f aca="false">C28/D28</f>
        <v>0</v>
      </c>
    </row>
    <row r="29" customFormat="false" ht="15" hidden="false" customHeight="false" outlineLevel="0" collapsed="false">
      <c r="B29" s="9" t="s">
        <v>53</v>
      </c>
      <c r="C29" s="10" t="n">
        <v>1</v>
      </c>
      <c r="D29" s="10" t="n">
        <v>1</v>
      </c>
      <c r="E29" s="11" t="n">
        <f aca="false">C29/D29</f>
        <v>1</v>
      </c>
    </row>
    <row r="30" customFormat="false" ht="15" hidden="false" customHeight="false" outlineLevel="0" collapsed="false">
      <c r="B30" s="9" t="s">
        <v>9</v>
      </c>
      <c r="C30" s="10" t="n">
        <v>0</v>
      </c>
      <c r="D30" s="10" t="n">
        <v>1</v>
      </c>
      <c r="E30" s="11" t="n">
        <f aca="false">C30/D30</f>
        <v>0</v>
      </c>
    </row>
    <row r="31" customFormat="false" ht="15" hidden="false" customHeight="false" outlineLevel="0" collapsed="false">
      <c r="B31" s="9" t="s">
        <v>56</v>
      </c>
      <c r="C31" s="10" t="n">
        <v>1</v>
      </c>
      <c r="D31" s="10" t="n">
        <v>1</v>
      </c>
      <c r="E31" s="11" t="n">
        <f aca="false">C31/D31</f>
        <v>1</v>
      </c>
    </row>
    <row r="32" customFormat="false" ht="15" hidden="false" customHeight="false" outlineLevel="0" collapsed="false">
      <c r="B32" s="9" t="s">
        <v>199</v>
      </c>
      <c r="C32" s="10" t="n">
        <v>1</v>
      </c>
      <c r="D32" s="10" t="n">
        <v>1</v>
      </c>
      <c r="E32" s="11" t="n">
        <f aca="false">C32/D32</f>
        <v>1</v>
      </c>
    </row>
    <row r="33" customFormat="false" ht="15" hidden="false" customHeight="false" outlineLevel="0" collapsed="false">
      <c r="B33" s="9" t="s">
        <v>101</v>
      </c>
      <c r="C33" s="10" t="n">
        <v>1</v>
      </c>
      <c r="D33" s="10" t="n">
        <v>1</v>
      </c>
      <c r="E33" s="11" t="n">
        <f aca="false">C33/D33</f>
        <v>1</v>
      </c>
    </row>
    <row r="34" customFormat="false" ht="15" hidden="false" customHeight="false" outlineLevel="0" collapsed="false">
      <c r="B34" s="9" t="s">
        <v>39</v>
      </c>
      <c r="C34" s="10" t="n">
        <v>0</v>
      </c>
      <c r="D34" s="10" t="n">
        <v>1</v>
      </c>
      <c r="E34" s="11" t="n">
        <f aca="false">C34/D34</f>
        <v>0</v>
      </c>
    </row>
    <row r="35" customFormat="false" ht="15" hidden="false" customHeight="false" outlineLevel="0" collapsed="false">
      <c r="B35" s="9" t="s">
        <v>213</v>
      </c>
      <c r="C35" s="10" t="n">
        <v>0</v>
      </c>
      <c r="D35" s="10" t="n">
        <v>1</v>
      </c>
      <c r="E35" s="11" t="n">
        <f aca="false">C35/D35</f>
        <v>0</v>
      </c>
    </row>
    <row r="36" customFormat="false" ht="15" hidden="false" customHeight="false" outlineLevel="0" collapsed="false">
      <c r="B36" s="12" t="s">
        <v>375</v>
      </c>
      <c r="C36" s="13" t="n">
        <f aca="false">SUM(C3:C35)</f>
        <v>83</v>
      </c>
      <c r="D36" s="13" t="n">
        <f aca="false">SUM(D3:D35)</f>
        <v>105</v>
      </c>
      <c r="E36" s="14" t="n">
        <f aca="false">C36/D36</f>
        <v>0.79047619047619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376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377</v>
      </c>
    </row>
    <row r="5" customFormat="false" ht="15" hidden="false" customHeight="false" outlineLevel="0" collapsed="false">
      <c r="B5" s="16" t="s">
        <v>378</v>
      </c>
    </row>
    <row r="6" customFormat="false" ht="15" hidden="false" customHeight="false" outlineLevel="0" collapsed="false">
      <c r="B6" s="16" t="s">
        <v>379</v>
      </c>
    </row>
    <row r="7" customFormat="false" ht="15" hidden="false" customHeight="false" outlineLevel="0" collapsed="false">
      <c r="B7" s="16" t="s">
        <v>380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381</v>
      </c>
    </row>
    <row r="10" customFormat="false" ht="15" hidden="false" customHeight="false" outlineLevel="0" collapsed="false">
      <c r="B10" s="16" t="s">
        <v>382</v>
      </c>
    </row>
    <row r="11" customFormat="false" ht="15" hidden="false" customHeight="false" outlineLevel="0" collapsed="false">
      <c r="B11" s="16" t="s">
        <v>383</v>
      </c>
    </row>
    <row r="12" customFormat="false" ht="15" hidden="false" customHeight="false" outlineLevel="0" collapsed="false">
      <c r="B12" s="16" t="s">
        <v>384</v>
      </c>
    </row>
    <row r="13" customFormat="false" ht="15" hidden="false" customHeight="false" outlineLevel="0" collapsed="false">
      <c r="B13" s="16" t="s">
        <v>385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5" t="s">
        <v>386</v>
      </c>
    </row>
    <row r="16" customFormat="false" ht="15" hidden="false" customHeight="false" outlineLevel="0" collapsed="false">
      <c r="B16" s="16" t="s">
        <v>387</v>
      </c>
    </row>
    <row r="17" customFormat="false" ht="15" hidden="false" customHeight="false" outlineLevel="0" collapsed="false">
      <c r="B17" s="16" t="s">
        <v>388</v>
      </c>
    </row>
    <row r="18" customFormat="false" ht="15" hidden="false" customHeight="false" outlineLevel="0" collapsed="false">
      <c r="B18" s="16" t="s">
        <v>389</v>
      </c>
    </row>
    <row r="19" customFormat="false" ht="15" hidden="false" customHeight="false" outlineLevel="0" collapsed="false">
      <c r="B19" s="16" t="s">
        <v>390</v>
      </c>
    </row>
    <row r="20" customFormat="false" ht="15" hidden="false" customHeight="false" outlineLevel="0" collapsed="false">
      <c r="B20" s="16"/>
    </row>
    <row r="21" customFormat="false" ht="15" hidden="false" customHeight="false" outlineLevel="0" collapsed="false">
      <c r="B21" s="15" t="s">
        <v>391</v>
      </c>
    </row>
    <row r="22" customFormat="false" ht="15" hidden="false" customHeight="false" outlineLevel="0" collapsed="false">
      <c r="B22" s="16" t="s">
        <v>392</v>
      </c>
    </row>
    <row r="23" customFormat="false" ht="15" hidden="false" customHeight="false" outlineLevel="0" collapsed="false">
      <c r="B23" s="16" t="s">
        <v>393</v>
      </c>
    </row>
    <row r="24" customFormat="false" ht="15" hidden="false" customHeight="false" outlineLevel="0" collapsed="false">
      <c r="B24" s="16"/>
    </row>
    <row r="25" customFormat="false" ht="15" hidden="false" customHeight="false" outlineLevel="0" collapsed="false">
      <c r="B25" s="15" t="s">
        <v>394</v>
      </c>
    </row>
    <row r="26" customFormat="false" ht="15" hidden="false" customHeight="false" outlineLevel="0" collapsed="false">
      <c r="B26" s="16" t="s">
        <v>395</v>
      </c>
    </row>
    <row r="27" customFormat="false" ht="15" hidden="false" customHeight="false" outlineLevel="0" collapsed="false">
      <c r="B27" s="16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2026-07-14T12:47:26Z</dcterms:created>
  <dc:creator>openpyxl</dc:creator>
  <dc:description/>
  <dc:language>en-US</dc:language>
  <cp:lastModifiedBy/>
  <dcterms:modified xsi:type="dcterms:W3CDTF">2026-07-14T12:47:26Z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