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leber_wagi" sheetId="1" state="visible" r:id="rId3"/>
    <sheet name="Pokrycie" sheetId="2" state="visible" r:id="rId4"/>
    <sheet name="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<sst xmlns="http://schemas.openxmlformats.org/spreadsheetml/2006/main" count="287" uniqueCount="223">
  <si>
    <t xml:space="preserve">#</t>
  </si>
  <si>
    <t xml:space="preserve">Nazwa oryginalna</t>
  </si>
  <si>
    <t xml:space="preserve">Rozmiar</t>
  </si>
  <si>
    <t xml:space="preserve">Seria</t>
  </si>
  <si>
    <t xml:space="preserve">Indeks/opis</t>
  </si>
  <si>
    <t xml:space="preserve">Waga (kg)</t>
  </si>
  <si>
    <t xml:space="preserve">Źródło wagi</t>
  </si>
  <si>
    <t xml:space="preserve">230/95R32 Kleber CROPKER 128D/131A8 TL</t>
  </si>
  <si>
    <t xml:space="preserve">230/95R32</t>
  </si>
  <si>
    <t xml:space="preserve">CROPKER</t>
  </si>
  <si>
    <t xml:space="preserve">128D/131A8 TL</t>
  </si>
  <si>
    <t xml:space="preserve">230/95R36 Kleber CROPKER 130D/133A8 TL</t>
  </si>
  <si>
    <t xml:space="preserve">230/95R36</t>
  </si>
  <si>
    <t xml:space="preserve">130D/133A8 TL</t>
  </si>
  <si>
    <t xml:space="preserve">https://www.baywa.de/de/landtechnik/traktor/reifen-raeder/traktorreifen/kleber/kleber-traktorreifen-cropker-radial-tl-/p-000000000001733765/</t>
  </si>
  <si>
    <t xml:space="preserve">230/95R40 Kleber CROPKER 132D/135A8 TL</t>
  </si>
  <si>
    <t xml:space="preserve">230/95R40</t>
  </si>
  <si>
    <t xml:space="preserve">132D/135A8 TL</t>
  </si>
  <si>
    <t xml:space="preserve">https://store.ntstiresupply.com/shop/nts-150961-230-95r40-kleber-cropker-r-1w-132d-70-150961</t>
  </si>
  <si>
    <t xml:space="preserve">230/95R44 Kleber CROPKER 134D/137A8 TL</t>
  </si>
  <si>
    <t xml:space="preserve">230/95R44</t>
  </si>
  <si>
    <t xml:space="preserve">134D/137A8 TL</t>
  </si>
  <si>
    <t xml:space="preserve">https://onlineshop.bohnenkamp.de/de/reifen-kleber-cropker-230-95-r-44-12426800</t>
  </si>
  <si>
    <t xml:space="preserve">230/95R48 Kleber CROPKER 136D/139A8 TL</t>
  </si>
  <si>
    <t xml:space="preserve">230/95R48</t>
  </si>
  <si>
    <t xml:space="preserve">136D/139A8 TL</t>
  </si>
  <si>
    <t xml:space="preserve">https://onlineshop.bohnenkamp-suisse.ch/de/reifen-kleber-cropker-230-95-r-48-12426819</t>
  </si>
  <si>
    <t xml:space="preserve">270/95R32 Kleber CROPKER 136D/139A8 TL</t>
  </si>
  <si>
    <t xml:space="preserve">270/95R32</t>
  </si>
  <si>
    <t xml:space="preserve">270/95R36 Kleber CROPKER 139D/142A8 TL</t>
  </si>
  <si>
    <t xml:space="preserve">270/95R36</t>
  </si>
  <si>
    <t xml:space="preserve">139D/142A8 TL</t>
  </si>
  <si>
    <t xml:space="preserve">https://www.baywa.de/de/traktor/reifen-raeder/traktorreifen/kleber/kleber-traktorreifen-cropker-radial-tl-/p-000000000001733770/</t>
  </si>
  <si>
    <t xml:space="preserve">270/95R38 Kleber CROPKER 140D/143A8 TL</t>
  </si>
  <si>
    <t xml:space="preserve">270/95R38</t>
  </si>
  <si>
    <t xml:space="preserve">140D/143A8 TL</t>
  </si>
  <si>
    <t xml:space="preserve">270/95R42 Kleber CROPKER 141D/144A8 TL</t>
  </si>
  <si>
    <t xml:space="preserve">270/95R42</t>
  </si>
  <si>
    <t xml:space="preserve">141D/144A8 TL</t>
  </si>
  <si>
    <t xml:space="preserve">270/95R48 Kleber CROPKER 144D/147A8 TL</t>
  </si>
  <si>
    <t xml:space="preserve">270/95R48</t>
  </si>
  <si>
    <t xml:space="preserve">144D/147A8 TL</t>
  </si>
  <si>
    <t xml:space="preserve">300/95R42 Kleber CROPKER 147D/150A8 TL</t>
  </si>
  <si>
    <t xml:space="preserve">300/95R42</t>
  </si>
  <si>
    <t xml:space="preserve">147D/150A8 TL</t>
  </si>
  <si>
    <t xml:space="preserve">https://www.kreissler24.de/300-95r42-150a8-147d-kleber-cropker.html</t>
  </si>
  <si>
    <t xml:space="preserve">300/95R46 Kleber CROPKER 148D/151A8 TL</t>
  </si>
  <si>
    <t xml:space="preserve">300/95R46</t>
  </si>
  <si>
    <t xml:space="preserve">148D/151A8 TL</t>
  </si>
  <si>
    <t xml:space="preserve">https://onlineshop.bohnenkamp-benelux.com/nl/banden-kleber-cropker-300-95-r-46-12426815</t>
  </si>
  <si>
    <t xml:space="preserve">360/70R28 Kleber FITKER 125A8/125B TL</t>
  </si>
  <si>
    <t xml:space="preserve">360/70R28</t>
  </si>
  <si>
    <t xml:space="preserve">FITKER</t>
  </si>
  <si>
    <t xml:space="preserve">125A8/125B TL</t>
  </si>
  <si>
    <t xml:space="preserve">https://www.heuver.com/product/b36070028kla8fit00</t>
  </si>
  <si>
    <t xml:space="preserve">380/70R24 Kleber FITKER 125A8/125B TL</t>
  </si>
  <si>
    <t xml:space="preserve">380/70R24</t>
  </si>
  <si>
    <t xml:space="preserve">https://www.baywa.de/de/traktor/reifen-raeder/traktorreifen/kleber/kleber-traktorreifen-fitker-radial-tl-/p-000000000000167508/</t>
  </si>
  <si>
    <t xml:space="preserve">380/70R28 Kleber FITKER 127A8/127B TL</t>
  </si>
  <si>
    <t xml:space="preserve">380/70R28</t>
  </si>
  <si>
    <t xml:space="preserve">127A8/127B TL</t>
  </si>
  <si>
    <t xml:space="preserve">https://www.heuver.com/product/b38070028kla8fit00</t>
  </si>
  <si>
    <t xml:space="preserve">420/70R24 Kleber FITKER 136A8/136B TL</t>
  </si>
  <si>
    <t xml:space="preserve">420/70R24</t>
  </si>
  <si>
    <t xml:space="preserve">136A8/136B TL</t>
  </si>
  <si>
    <t xml:space="preserve">https://www.baywa.de/de/traktor/reifen-raeder/traktorreifen/kleber/kleber-traktorreifen-fitker-radial-tl-/p-000000000001584451/</t>
  </si>
  <si>
    <t xml:space="preserve">420/70R28 Kleber FITKER 133A8/133B TL</t>
  </si>
  <si>
    <t xml:space="preserve">420/70R28</t>
  </si>
  <si>
    <t xml:space="preserve">133A8/133B TL</t>
  </si>
  <si>
    <t xml:space="preserve">https://www.baywa.de/de/landtechnik/traktor/reifen-raeder/traktorreifen/kleber/kleber-traktorreifen-fitker-radial-tl-/p-000000000000167511/</t>
  </si>
  <si>
    <t xml:space="preserve">420/70R30 Kleber FITKER 134A8/131B TL demo</t>
  </si>
  <si>
    <t xml:space="preserve">420/70R30</t>
  </si>
  <si>
    <t xml:space="preserve">134A8/131B TL demo</t>
  </si>
  <si>
    <t xml:space="preserve">480/70R34 Kleber FITKER 143A8/143B TL</t>
  </si>
  <si>
    <t xml:space="preserve">480/70R34</t>
  </si>
  <si>
    <t xml:space="preserve">143A8/143B TL</t>
  </si>
  <si>
    <t xml:space="preserve">https://opony-rolnicze.net/Kleber-480-70R34-16.9-R34-id-269CAI481973MCL.html</t>
  </si>
  <si>
    <t xml:space="preserve">480/70R38 Kleber FITKER 145A8/145B TL</t>
  </si>
  <si>
    <t xml:space="preserve">480/70R38</t>
  </si>
  <si>
    <t xml:space="preserve">145A8/145B TL</t>
  </si>
  <si>
    <t xml:space="preserve">https://www.heuver.de/product/b48070038kla8fit00/480-70r38-kleber-fitker-145a8-145b-tl</t>
  </si>
  <si>
    <t xml:space="preserve">520/70R34 Kleber FITKER 148A8/148B TL</t>
  </si>
  <si>
    <t xml:space="preserve">520/70R34</t>
  </si>
  <si>
    <t xml:space="preserve">148A8/148B TL</t>
  </si>
  <si>
    <t xml:space="preserve">https://www.heuver.com/product/b52070034kla8fit00</t>
  </si>
  <si>
    <t xml:space="preserve">580/70R38 Kleber FITKER 155A8/155B TL</t>
  </si>
  <si>
    <t xml:space="preserve">580/70R38</t>
  </si>
  <si>
    <t xml:space="preserve">155A8/155B TL</t>
  </si>
  <si>
    <t xml:space="preserve">https://www.baywa.de/de/landtechnik/traktor/reifen-raeder/traktorreifen/kleber/kleber-traktorreifen-fitker-radial-tl-/p-000000000000157952/</t>
  </si>
  <si>
    <t xml:space="preserve">440/65R28 Kleber GRIPKER 131D TL</t>
  </si>
  <si>
    <t xml:space="preserve">440/65R28</t>
  </si>
  <si>
    <t xml:space="preserve">GRIPKER</t>
  </si>
  <si>
    <t xml:space="preserve">131D TL</t>
  </si>
  <si>
    <t xml:space="preserve">https://www.allpneus.com/catalogue/pneus-agricole/kleber/pneus-roue-motrice/gripker/254036</t>
  </si>
  <si>
    <t xml:space="preserve">480/65R28 Kleber GRIPKER 136D TL</t>
  </si>
  <si>
    <t xml:space="preserve">480/65R28</t>
  </si>
  <si>
    <t xml:space="preserve">136D TL</t>
  </si>
  <si>
    <t xml:space="preserve">https://onlineshop.bohnenkamp-suisse.ch/de/reifen-480-65-r-28-gripker-34267</t>
  </si>
  <si>
    <t xml:space="preserve">540/65R30 Kleber GRIPKER 143D TL</t>
  </si>
  <si>
    <t xml:space="preserve">540/65R30</t>
  </si>
  <si>
    <t xml:space="preserve">143D TL</t>
  </si>
  <si>
    <t xml:space="preserve">540/65R38 Kleber GRIPKER 147D TL</t>
  </si>
  <si>
    <t xml:space="preserve">540/65R38</t>
  </si>
  <si>
    <t xml:space="preserve">147D TL</t>
  </si>
  <si>
    <t xml:space="preserve">https://www.baywa.de/de/landtechnik/traktor/reifen-raeder/traktorreifen/kleber/kleber-traktorreifen-gripker-radial-tl-/p-000000000001207578/</t>
  </si>
  <si>
    <t xml:space="preserve">600/65R38 Kleber GRIPKER 153D TL</t>
  </si>
  <si>
    <t xml:space="preserve">600/65R38</t>
  </si>
  <si>
    <t xml:space="preserve">153D TL</t>
  </si>
  <si>
    <t xml:space="preserve">https://www.allpneus.com/catalogue/pneus-agricole/kleber/pneus-roue-motrice/gripker/254060</t>
  </si>
  <si>
    <t xml:space="preserve">650/65R38 Kleber GRIPKER 157D TL</t>
  </si>
  <si>
    <t xml:space="preserve">650/65R38</t>
  </si>
  <si>
    <t xml:space="preserve">157D TL</t>
  </si>
  <si>
    <t xml:space="preserve">https://onlineshop.bohnenkamp.at/en/tyre-kleber-gripker-650-65-r-38-12427120</t>
  </si>
  <si>
    <t xml:space="preserve">650/65R42 Kleber GRIPKER 158D TL</t>
  </si>
  <si>
    <t xml:space="preserve">650/65R42</t>
  </si>
  <si>
    <t xml:space="preserve">158D TL</t>
  </si>
  <si>
    <t xml:space="preserve">https://onlineshop.bohnenkamp.at/en/tyre-kleber-gripker-650-65-r-42-12427130</t>
  </si>
  <si>
    <t xml:space="preserve">400/70R20 Kleber LUGKER 149A8/149B TL</t>
  </si>
  <si>
    <t xml:space="preserve">400/70R20</t>
  </si>
  <si>
    <t xml:space="preserve">LUGKER</t>
  </si>
  <si>
    <t xml:space="preserve">149A8/149B TL</t>
  </si>
  <si>
    <t xml:space="preserve">https://www.heuver.com/product/b40070020kla8lug00</t>
  </si>
  <si>
    <t xml:space="preserve">460/70R24 Kleber LUGKER 159A8/159B TL</t>
  </si>
  <si>
    <t xml:space="preserve">460/70R24</t>
  </si>
  <si>
    <t xml:space="preserve">159A8/159B TL</t>
  </si>
  <si>
    <t xml:space="preserve">https://onlineshop.bohnenkamp.de/de/reifen-kleber-lugker-460-70-r-24-12427190</t>
  </si>
  <si>
    <t xml:space="preserve">500/70R24 Kleber LUGKER 164A8/164B TL</t>
  </si>
  <si>
    <t xml:space="preserve">500/70R24</t>
  </si>
  <si>
    <t xml:space="preserve">164A8/164B TL</t>
  </si>
  <si>
    <t xml:space="preserve">https://www.heuver.com/product/b50070024kla8lug00</t>
  </si>
  <si>
    <t xml:space="preserve">340/75R20 Kleber SUPER G 117A8/114B TL</t>
  </si>
  <si>
    <t xml:space="preserve">340/75R20</t>
  </si>
  <si>
    <t xml:space="preserve">SUPER G</t>
  </si>
  <si>
    <t xml:space="preserve">117A8/114B TL</t>
  </si>
  <si>
    <t xml:space="preserve">18.4R38 Kleber TRAKER 149A8/146B TL</t>
  </si>
  <si>
    <t xml:space="preserve">18.4R38</t>
  </si>
  <si>
    <t xml:space="preserve">TRAKER</t>
  </si>
  <si>
    <t xml:space="preserve">149A8/146B TL</t>
  </si>
  <si>
    <t xml:space="preserve">https://onlineshop.bohnenkamp-benelux.com/en/tyre-kleber-traker-460-85-r-38-12426610?recoName=alternative_products</t>
  </si>
  <si>
    <t xml:space="preserve">250/85R24 Kleber TRAKER 109A8/106B TL</t>
  </si>
  <si>
    <t xml:space="preserve">250/85R24</t>
  </si>
  <si>
    <t xml:space="preserve">109A8/106B TL</t>
  </si>
  <si>
    <t xml:space="preserve">250/85R28 Kleber TRAKER 112A8/109B TL</t>
  </si>
  <si>
    <t xml:space="preserve">250/85R28</t>
  </si>
  <si>
    <t xml:space="preserve">112A8/109B TL</t>
  </si>
  <si>
    <t xml:space="preserve">280/85R24 Kleber TRAKER 115A8/112B TL</t>
  </si>
  <si>
    <t xml:space="preserve">280/85R24</t>
  </si>
  <si>
    <t xml:space="preserve">115A8/112B TL</t>
  </si>
  <si>
    <t xml:space="preserve">280/85R28 Kleber TRAKER 118A8/115B TL</t>
  </si>
  <si>
    <t xml:space="preserve">280/85R28</t>
  </si>
  <si>
    <t xml:space="preserve">118A8/115B TL</t>
  </si>
  <si>
    <t xml:space="preserve">https://onlineshop.bohnenkamp-suisse.ch/de/reifen-kleber-traker-280-85-r-28-12426250</t>
  </si>
  <si>
    <t xml:space="preserve">320/85R20 Kleber TRAKER 119A8/116B TL</t>
  </si>
  <si>
    <t xml:space="preserve">320/85R20</t>
  </si>
  <si>
    <t xml:space="preserve">119A8/116B TL</t>
  </si>
  <si>
    <t xml:space="preserve">320/85R24 Kleber TRAKER 122A8/119B TL</t>
  </si>
  <si>
    <t xml:space="preserve">320/85R24</t>
  </si>
  <si>
    <t xml:space="preserve">122A8/119B TL</t>
  </si>
  <si>
    <t xml:space="preserve">https://onlineshop.bohnenkamp-suisse.ch/en/tyre-kleber-traker-320-85-r-24-12426110?recoName=alternative_products</t>
  </si>
  <si>
    <t xml:space="preserve">320/85R36 Kleber TRAKER 128A8/125B TL</t>
  </si>
  <si>
    <t xml:space="preserve">320/85R36</t>
  </si>
  <si>
    <t xml:space="preserve">128A8/125B TL</t>
  </si>
  <si>
    <t xml:space="preserve">340/85R24 Kleber TRAKER 130A8/127B TL</t>
  </si>
  <si>
    <t xml:space="preserve">340/85R24</t>
  </si>
  <si>
    <t xml:space="preserve">130A8/127B TL</t>
  </si>
  <si>
    <t xml:space="preserve">https://www.baywa.de/de/traktor/reifen-raeder/as-triebradreifen/kleber/kleber-as-reifen-traker-radial-tl-/p-000000000001584462/</t>
  </si>
  <si>
    <t xml:space="preserve">340/85R28 Kleber TRAKER 127A8/124B TL</t>
  </si>
  <si>
    <t xml:space="preserve">340/85R28</t>
  </si>
  <si>
    <t xml:space="preserve">127A8/124B TL</t>
  </si>
  <si>
    <t xml:space="preserve">340/85R36 Kleber TRAKER 132A8/129B TL</t>
  </si>
  <si>
    <t xml:space="preserve">340/85R36</t>
  </si>
  <si>
    <t xml:space="preserve">132A8/129B TL</t>
  </si>
  <si>
    <t xml:space="preserve">https://onlineshop.bohnenkamp-suisse.ch/de/reifen-kleber-traker-340-85-r-36-12426544</t>
  </si>
  <si>
    <t xml:space="preserve">340/85R38 Kleber TRAKER 133A8/130B TL</t>
  </si>
  <si>
    <t xml:space="preserve">340/85R38</t>
  </si>
  <si>
    <t xml:space="preserve">133A8/130B TL</t>
  </si>
  <si>
    <t xml:space="preserve">https://www.baywa.de/de/traktor/reifen-raeder/as-triebradreifen/kleber/kleber-as-reifen-traker-radial-tl-/p-000000000000569050/</t>
  </si>
  <si>
    <t xml:space="preserve">380/85R24 Kleber TRAKER 131A8/128B TL</t>
  </si>
  <si>
    <t xml:space="preserve">380/85R24</t>
  </si>
  <si>
    <t xml:space="preserve">131A8/128B TL</t>
  </si>
  <si>
    <t xml:space="preserve">https://onlineshop.bohnenkamp-suisse.ch/de/reifen-kleber-traker-380-85-r-24-12426140?recoName=alternative_products</t>
  </si>
  <si>
    <t xml:space="preserve">380/85R28 Kleber TRAKER 133A8/130B TL</t>
  </si>
  <si>
    <t xml:space="preserve">380/85R28</t>
  </si>
  <si>
    <t xml:space="preserve">420/85R24 Kleber TRAKER 142A8/139B TL</t>
  </si>
  <si>
    <t xml:space="preserve">420/85R24</t>
  </si>
  <si>
    <t xml:space="preserve">142A8/139B TL</t>
  </si>
  <si>
    <t xml:space="preserve">420/85R28 Kleber TRAKER 144A8/141B TL</t>
  </si>
  <si>
    <t xml:space="preserve">420/85R28</t>
  </si>
  <si>
    <t xml:space="preserve">144A8/141B TL</t>
  </si>
  <si>
    <t xml:space="preserve">420/85R34 Kleber TRAKER 142A8/139B TL</t>
  </si>
  <si>
    <t xml:space="preserve">420/85R34</t>
  </si>
  <si>
    <t xml:space="preserve">https://www.baywa.de/de/traktor/reifen-raeder/traktorreifen/kleber/kleber-traktorreifen-traker-radial-tl-/p-000000000000524762/</t>
  </si>
  <si>
    <t xml:space="preserve">420/85R38 Kleber TRAKER 144A8/141B TL</t>
  </si>
  <si>
    <t xml:space="preserve">420/85R38</t>
  </si>
  <si>
    <t xml:space="preserve">https://onlineshop.bohnenkamp-suisse.ch/de/reifen-kleber-traker-420-85-r-38-12426590</t>
  </si>
  <si>
    <t xml:space="preserve">460/85R34 Kleber TRAKER 147A8/144B TL</t>
  </si>
  <si>
    <t xml:space="preserve">460/85R34</t>
  </si>
  <si>
    <t xml:space="preserve">147A8/144B TL</t>
  </si>
  <si>
    <t xml:space="preserve">520/85R38 Kleber TRAKER 155A8/152B TL</t>
  </si>
  <si>
    <t xml:space="preserve">520/85R38</t>
  </si>
  <si>
    <t xml:space="preserve">155A8/152B TL</t>
  </si>
  <si>
    <t xml:space="preserve">https://onlineshop.bohnenkamp-suisse.ch/de/reifen-kleber-traker-520-85-r-38-12426870</t>
  </si>
  <si>
    <t xml:space="preserve">520/85R42 Kleber TRAKER 157A8/157B TL</t>
  </si>
  <si>
    <t xml:space="preserve">520/85R42</t>
  </si>
  <si>
    <t xml:space="preserve">157A8/157B TL</t>
  </si>
  <si>
    <t xml:space="preserve">Wypełnione</t>
  </si>
  <si>
    <t xml:space="preserve">Wszystkie</t>
  </si>
  <si>
    <t xml:space="preserve">% pokrycia</t>
  </si>
  <si>
    <t xml:space="preserve">RAZEM</t>
  </si>
  <si>
    <t xml:space="preserve">Kleber - wagi opon</t>
  </si>
  <si>
    <t xml:space="preserve">Data przygotowania: 2026-07-14</t>
  </si>
  <si>
    <t xml:space="preserve">Liczba pozycji: 55</t>
  </si>
  <si>
    <t xml:space="preserve">Wypełnione wagi: 35 (63.6%)</t>
  </si>
  <si>
    <t xml:space="preserve">Braki: 20</t>
  </si>
  <si>
    <t xml:space="preserve">Metodologia:</t>
  </si>
  <si>
    <t xml:space="preserve">- Klasyfikacja 55 pozycji Kleber na 6 serii</t>
  </si>
  <si>
    <t xml:space="preserve">- Zbieranie wag przez subagentów - priorytet oficjalnych PDF i dystrybutorów</t>
  </si>
  <si>
    <t xml:space="preserve">- Weryfikacja: waga = MASA opony (Net weight/Nettogewicht), nie nośność</t>
  </si>
  <si>
    <t xml:space="preserve">- Konwersja funtów: kg = lbs / 2.20462</t>
  </si>
  <si>
    <t xml:space="preserve">Źródła:</t>
  </si>
  <si>
    <t xml:space="preserve">1. bohnenkamp</t>
  </si>
  <si>
    <t xml:space="preserve">2. heuver.com</t>
  </si>
  <si>
    <t xml:space="preserve">3. e-agropneu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</si>
</sst>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01696F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BE9E7"/>
        <bgColor rgb="FFF1F8E9"/>
      </patternFill>
    </fill>
    <fill>
      <patternFill patternType="solid">
        <fgColor rgb="FFF1F8E9"/>
        <bgColor rgb="FFE0F2F1"/>
      </patternFill>
    </fill>
    <fill>
      <patternFill patternType="solid">
        <fgColor rgb="FFE0F2F1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808080"/>
      <rgbColor rgb="FF9999FF"/>
      <rgbColor rgb="FF993366"/>
      <rgbColor rgb="FFF1F8E9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80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customFormat="false" ht="15" hidden="false" customHeight="false" outlineLevel="0" collapsed="false">
      <c r="B3" s="2" t="n">
        <v>1</v>
      </c>
      <c r="C3" s="3" t="s">
        <v>7</v>
      </c>
      <c r="D3" s="2" t="s">
        <v>8</v>
      </c>
      <c r="E3" s="3" t="s">
        <v>9</v>
      </c>
      <c r="F3" s="3" t="s">
        <v>10</v>
      </c>
      <c r="G3" s="4"/>
      <c r="H3" s="3"/>
    </row>
    <row r="4" customFormat="false" ht="15" hidden="false" customHeight="false" outlineLevel="0" collapsed="false">
      <c r="B4" s="5" t="n">
        <v>2</v>
      </c>
      <c r="C4" s="6" t="s">
        <v>11</v>
      </c>
      <c r="D4" s="5" t="s">
        <v>12</v>
      </c>
      <c r="E4" s="6" t="s">
        <v>9</v>
      </c>
      <c r="F4" s="6" t="s">
        <v>13</v>
      </c>
      <c r="G4" s="7" t="n">
        <v>46</v>
      </c>
      <c r="H4" s="6" t="s">
        <v>14</v>
      </c>
    </row>
    <row r="5" customFormat="false" ht="15" hidden="false" customHeight="false" outlineLevel="0" collapsed="false">
      <c r="B5" s="5" t="n">
        <v>3</v>
      </c>
      <c r="C5" s="6" t="s">
        <v>15</v>
      </c>
      <c r="D5" s="5" t="s">
        <v>16</v>
      </c>
      <c r="E5" s="6" t="s">
        <v>9</v>
      </c>
      <c r="F5" s="6" t="s">
        <v>17</v>
      </c>
      <c r="G5" s="7" t="n">
        <v>47.6</v>
      </c>
      <c r="H5" s="6" t="s">
        <v>18</v>
      </c>
    </row>
    <row r="6" customFormat="false" ht="15" hidden="false" customHeight="false" outlineLevel="0" collapsed="false">
      <c r="B6" s="5" t="n">
        <v>4</v>
      </c>
      <c r="C6" s="6" t="s">
        <v>19</v>
      </c>
      <c r="D6" s="5" t="s">
        <v>20</v>
      </c>
      <c r="E6" s="6" t="s">
        <v>9</v>
      </c>
      <c r="F6" s="6" t="s">
        <v>21</v>
      </c>
      <c r="G6" s="7" t="n">
        <v>55</v>
      </c>
      <c r="H6" s="6" t="s">
        <v>22</v>
      </c>
    </row>
    <row r="7" customFormat="false" ht="15" hidden="false" customHeight="false" outlineLevel="0" collapsed="false">
      <c r="B7" s="5" t="n">
        <v>5</v>
      </c>
      <c r="C7" s="6" t="s">
        <v>23</v>
      </c>
      <c r="D7" s="5" t="s">
        <v>24</v>
      </c>
      <c r="E7" s="6" t="s">
        <v>9</v>
      </c>
      <c r="F7" s="6" t="s">
        <v>25</v>
      </c>
      <c r="G7" s="7" t="n">
        <v>55</v>
      </c>
      <c r="H7" s="6" t="s">
        <v>26</v>
      </c>
    </row>
    <row r="8" customFormat="false" ht="15" hidden="false" customHeight="false" outlineLevel="0" collapsed="false">
      <c r="B8" s="2" t="n">
        <v>6</v>
      </c>
      <c r="C8" s="3" t="s">
        <v>27</v>
      </c>
      <c r="D8" s="2" t="s">
        <v>28</v>
      </c>
      <c r="E8" s="3" t="s">
        <v>9</v>
      </c>
      <c r="F8" s="3" t="s">
        <v>25</v>
      </c>
      <c r="G8" s="4"/>
      <c r="H8" s="3"/>
    </row>
    <row r="9" customFormat="false" ht="15" hidden="false" customHeight="false" outlineLevel="0" collapsed="false">
      <c r="B9" s="5" t="n">
        <v>7</v>
      </c>
      <c r="C9" s="6" t="s">
        <v>29</v>
      </c>
      <c r="D9" s="5" t="s">
        <v>30</v>
      </c>
      <c r="E9" s="6" t="s">
        <v>9</v>
      </c>
      <c r="F9" s="6" t="s">
        <v>31</v>
      </c>
      <c r="G9" s="7" t="n">
        <v>55</v>
      </c>
      <c r="H9" s="6" t="s">
        <v>32</v>
      </c>
    </row>
    <row r="10" customFormat="false" ht="15" hidden="false" customHeight="false" outlineLevel="0" collapsed="false">
      <c r="B10" s="2" t="n">
        <v>8</v>
      </c>
      <c r="C10" s="3" t="s">
        <v>33</v>
      </c>
      <c r="D10" s="2" t="s">
        <v>34</v>
      </c>
      <c r="E10" s="3" t="s">
        <v>9</v>
      </c>
      <c r="F10" s="3" t="s">
        <v>35</v>
      </c>
      <c r="G10" s="4"/>
      <c r="H10" s="3"/>
    </row>
    <row r="11" customFormat="false" ht="15" hidden="false" customHeight="false" outlineLevel="0" collapsed="false">
      <c r="B11" s="2" t="n">
        <v>9</v>
      </c>
      <c r="C11" s="3" t="s">
        <v>36</v>
      </c>
      <c r="D11" s="2" t="s">
        <v>37</v>
      </c>
      <c r="E11" s="3" t="s">
        <v>9</v>
      </c>
      <c r="F11" s="3" t="s">
        <v>38</v>
      </c>
      <c r="G11" s="4"/>
      <c r="H11" s="3"/>
    </row>
    <row r="12" customFormat="false" ht="15" hidden="false" customHeight="false" outlineLevel="0" collapsed="false">
      <c r="B12" s="2" t="n">
        <v>10</v>
      </c>
      <c r="C12" s="3" t="s">
        <v>39</v>
      </c>
      <c r="D12" s="2" t="s">
        <v>40</v>
      </c>
      <c r="E12" s="3" t="s">
        <v>9</v>
      </c>
      <c r="F12" s="3" t="s">
        <v>41</v>
      </c>
      <c r="G12" s="4"/>
      <c r="H12" s="3"/>
    </row>
    <row r="13" customFormat="false" ht="15" hidden="false" customHeight="false" outlineLevel="0" collapsed="false">
      <c r="B13" s="5" t="n">
        <v>11</v>
      </c>
      <c r="C13" s="6" t="s">
        <v>42</v>
      </c>
      <c r="D13" s="5" t="s">
        <v>43</v>
      </c>
      <c r="E13" s="6" t="s">
        <v>9</v>
      </c>
      <c r="F13" s="6" t="s">
        <v>44</v>
      </c>
      <c r="G13" s="7" t="n">
        <v>76</v>
      </c>
      <c r="H13" s="6" t="s">
        <v>45</v>
      </c>
    </row>
    <row r="14" customFormat="false" ht="15" hidden="false" customHeight="false" outlineLevel="0" collapsed="false">
      <c r="B14" s="5" t="n">
        <v>12</v>
      </c>
      <c r="C14" s="6" t="s">
        <v>46</v>
      </c>
      <c r="D14" s="5" t="s">
        <v>47</v>
      </c>
      <c r="E14" s="6" t="s">
        <v>9</v>
      </c>
      <c r="F14" s="6" t="s">
        <v>48</v>
      </c>
      <c r="G14" s="7" t="n">
        <v>80</v>
      </c>
      <c r="H14" s="6" t="s">
        <v>49</v>
      </c>
    </row>
    <row r="15" customFormat="false" ht="15" hidden="false" customHeight="false" outlineLevel="0" collapsed="false">
      <c r="B15" s="5" t="n">
        <v>13</v>
      </c>
      <c r="C15" s="6" t="s">
        <v>50</v>
      </c>
      <c r="D15" s="5" t="s">
        <v>51</v>
      </c>
      <c r="E15" s="6" t="s">
        <v>52</v>
      </c>
      <c r="F15" s="6" t="s">
        <v>53</v>
      </c>
      <c r="G15" s="7" t="n">
        <v>63</v>
      </c>
      <c r="H15" s="6" t="s">
        <v>54</v>
      </c>
    </row>
    <row r="16" customFormat="false" ht="15" hidden="false" customHeight="false" outlineLevel="0" collapsed="false">
      <c r="B16" s="5" t="n">
        <v>14</v>
      </c>
      <c r="C16" s="6" t="s">
        <v>55</v>
      </c>
      <c r="D16" s="5" t="s">
        <v>56</v>
      </c>
      <c r="E16" s="6" t="s">
        <v>52</v>
      </c>
      <c r="F16" s="6" t="s">
        <v>53</v>
      </c>
      <c r="G16" s="7" t="n">
        <v>60.7</v>
      </c>
      <c r="H16" s="6" t="s">
        <v>57</v>
      </c>
    </row>
    <row r="17" customFormat="false" ht="15" hidden="false" customHeight="false" outlineLevel="0" collapsed="false">
      <c r="B17" s="5" t="n">
        <v>15</v>
      </c>
      <c r="C17" s="6" t="s">
        <v>58</v>
      </c>
      <c r="D17" s="5" t="s">
        <v>59</v>
      </c>
      <c r="E17" s="6" t="s">
        <v>52</v>
      </c>
      <c r="F17" s="6" t="s">
        <v>60</v>
      </c>
      <c r="G17" s="7" t="n">
        <v>68.7</v>
      </c>
      <c r="H17" s="6" t="s">
        <v>61</v>
      </c>
    </row>
    <row r="18" customFormat="false" ht="15" hidden="false" customHeight="false" outlineLevel="0" collapsed="false">
      <c r="B18" s="5" t="n">
        <v>16</v>
      </c>
      <c r="C18" s="6" t="s">
        <v>62</v>
      </c>
      <c r="D18" s="5" t="s">
        <v>63</v>
      </c>
      <c r="E18" s="6" t="s">
        <v>52</v>
      </c>
      <c r="F18" s="6" t="s">
        <v>64</v>
      </c>
      <c r="G18" s="7" t="n">
        <v>74.4</v>
      </c>
      <c r="H18" s="6" t="s">
        <v>65</v>
      </c>
    </row>
    <row r="19" customFormat="false" ht="15" hidden="false" customHeight="false" outlineLevel="0" collapsed="false">
      <c r="B19" s="5" t="n">
        <v>17</v>
      </c>
      <c r="C19" s="6" t="s">
        <v>66</v>
      </c>
      <c r="D19" s="5" t="s">
        <v>67</v>
      </c>
      <c r="E19" s="6" t="s">
        <v>52</v>
      </c>
      <c r="F19" s="6" t="s">
        <v>68</v>
      </c>
      <c r="G19" s="7" t="n">
        <v>84.9</v>
      </c>
      <c r="H19" s="6" t="s">
        <v>69</v>
      </c>
    </row>
    <row r="20" customFormat="false" ht="15" hidden="false" customHeight="false" outlineLevel="0" collapsed="false">
      <c r="B20" s="2" t="n">
        <v>18</v>
      </c>
      <c r="C20" s="3" t="s">
        <v>70</v>
      </c>
      <c r="D20" s="2" t="s">
        <v>71</v>
      </c>
      <c r="E20" s="3" t="s">
        <v>52</v>
      </c>
      <c r="F20" s="3" t="s">
        <v>72</v>
      </c>
      <c r="G20" s="4"/>
      <c r="H20" s="3"/>
    </row>
    <row r="21" customFormat="false" ht="15" hidden="false" customHeight="false" outlineLevel="0" collapsed="false">
      <c r="B21" s="5" t="n">
        <v>19</v>
      </c>
      <c r="C21" s="6" t="s">
        <v>73</v>
      </c>
      <c r="D21" s="5" t="s">
        <v>74</v>
      </c>
      <c r="E21" s="6" t="s">
        <v>52</v>
      </c>
      <c r="F21" s="6" t="s">
        <v>75</v>
      </c>
      <c r="G21" s="7" t="n">
        <v>100</v>
      </c>
      <c r="H21" s="6" t="s">
        <v>76</v>
      </c>
    </row>
    <row r="22" customFormat="false" ht="15" hidden="false" customHeight="false" outlineLevel="0" collapsed="false">
      <c r="B22" s="5" t="n">
        <v>20</v>
      </c>
      <c r="C22" s="6" t="s">
        <v>77</v>
      </c>
      <c r="D22" s="5" t="s">
        <v>78</v>
      </c>
      <c r="E22" s="6" t="s">
        <v>52</v>
      </c>
      <c r="F22" s="6" t="s">
        <v>79</v>
      </c>
      <c r="G22" s="7" t="n">
        <v>134.8</v>
      </c>
      <c r="H22" s="6" t="s">
        <v>80</v>
      </c>
    </row>
    <row r="23" customFormat="false" ht="15" hidden="false" customHeight="false" outlineLevel="0" collapsed="false">
      <c r="B23" s="5" t="n">
        <v>21</v>
      </c>
      <c r="C23" s="6" t="s">
        <v>81</v>
      </c>
      <c r="D23" s="5" t="s">
        <v>82</v>
      </c>
      <c r="E23" s="6" t="s">
        <v>52</v>
      </c>
      <c r="F23" s="6" t="s">
        <v>83</v>
      </c>
      <c r="G23" s="7" t="n">
        <v>150.6</v>
      </c>
      <c r="H23" s="6" t="s">
        <v>84</v>
      </c>
    </row>
    <row r="24" customFormat="false" ht="15" hidden="false" customHeight="false" outlineLevel="0" collapsed="false">
      <c r="B24" s="5" t="n">
        <v>22</v>
      </c>
      <c r="C24" s="6" t="s">
        <v>85</v>
      </c>
      <c r="D24" s="5" t="s">
        <v>86</v>
      </c>
      <c r="E24" s="6" t="s">
        <v>52</v>
      </c>
      <c r="F24" s="6" t="s">
        <v>87</v>
      </c>
      <c r="G24" s="7" t="n">
        <v>217.7</v>
      </c>
      <c r="H24" s="6" t="s">
        <v>88</v>
      </c>
    </row>
    <row r="25" customFormat="false" ht="15" hidden="false" customHeight="false" outlineLevel="0" collapsed="false">
      <c r="B25" s="5" t="n">
        <v>23</v>
      </c>
      <c r="C25" s="6" t="s">
        <v>89</v>
      </c>
      <c r="D25" s="5" t="s">
        <v>90</v>
      </c>
      <c r="E25" s="6" t="s">
        <v>91</v>
      </c>
      <c r="F25" s="6" t="s">
        <v>92</v>
      </c>
      <c r="G25" s="7" t="n">
        <v>80</v>
      </c>
      <c r="H25" s="6" t="s">
        <v>93</v>
      </c>
    </row>
    <row r="26" customFormat="false" ht="15" hidden="false" customHeight="false" outlineLevel="0" collapsed="false">
      <c r="B26" s="5" t="n">
        <v>24</v>
      </c>
      <c r="C26" s="6" t="s">
        <v>94</v>
      </c>
      <c r="D26" s="5" t="s">
        <v>95</v>
      </c>
      <c r="E26" s="6" t="s">
        <v>91</v>
      </c>
      <c r="F26" s="6" t="s">
        <v>96</v>
      </c>
      <c r="G26" s="7" t="n">
        <v>86</v>
      </c>
      <c r="H26" s="6" t="s">
        <v>97</v>
      </c>
    </row>
    <row r="27" customFormat="false" ht="15" hidden="false" customHeight="false" outlineLevel="0" collapsed="false">
      <c r="B27" s="2" t="n">
        <v>25</v>
      </c>
      <c r="C27" s="3" t="s">
        <v>98</v>
      </c>
      <c r="D27" s="2" t="s">
        <v>99</v>
      </c>
      <c r="E27" s="3" t="s">
        <v>91</v>
      </c>
      <c r="F27" s="3" t="s">
        <v>100</v>
      </c>
      <c r="G27" s="4"/>
      <c r="H27" s="3"/>
    </row>
    <row r="28" customFormat="false" ht="15" hidden="false" customHeight="false" outlineLevel="0" collapsed="false">
      <c r="B28" s="2" t="n">
        <v>26</v>
      </c>
      <c r="C28" s="3" t="s">
        <v>98</v>
      </c>
      <c r="D28" s="2" t="s">
        <v>99</v>
      </c>
      <c r="E28" s="3" t="s">
        <v>91</v>
      </c>
      <c r="F28" s="3" t="s">
        <v>100</v>
      </c>
      <c r="G28" s="4"/>
      <c r="H28" s="3"/>
    </row>
    <row r="29" customFormat="false" ht="15" hidden="false" customHeight="false" outlineLevel="0" collapsed="false">
      <c r="B29" s="5" t="n">
        <v>27</v>
      </c>
      <c r="C29" s="6" t="s">
        <v>101</v>
      </c>
      <c r="D29" s="5" t="s">
        <v>102</v>
      </c>
      <c r="E29" s="6" t="s">
        <v>91</v>
      </c>
      <c r="F29" s="6" t="s">
        <v>103</v>
      </c>
      <c r="G29" s="7" t="n">
        <v>138</v>
      </c>
      <c r="H29" s="6" t="s">
        <v>104</v>
      </c>
    </row>
    <row r="30" customFormat="false" ht="15" hidden="false" customHeight="false" outlineLevel="0" collapsed="false">
      <c r="B30" s="5" t="n">
        <v>28</v>
      </c>
      <c r="C30" s="6" t="s">
        <v>105</v>
      </c>
      <c r="D30" s="5" t="s">
        <v>106</v>
      </c>
      <c r="E30" s="6" t="s">
        <v>91</v>
      </c>
      <c r="F30" s="6" t="s">
        <v>107</v>
      </c>
      <c r="G30" s="7" t="n">
        <v>179.5</v>
      </c>
      <c r="H30" s="6" t="s">
        <v>108</v>
      </c>
    </row>
    <row r="31" customFormat="false" ht="15" hidden="false" customHeight="false" outlineLevel="0" collapsed="false">
      <c r="B31" s="5" t="n">
        <v>29</v>
      </c>
      <c r="C31" s="6" t="s">
        <v>109</v>
      </c>
      <c r="D31" s="5" t="s">
        <v>110</v>
      </c>
      <c r="E31" s="6" t="s">
        <v>91</v>
      </c>
      <c r="F31" s="6" t="s">
        <v>111</v>
      </c>
      <c r="G31" s="7" t="n">
        <v>207</v>
      </c>
      <c r="H31" s="6" t="s">
        <v>112</v>
      </c>
    </row>
    <row r="32" customFormat="false" ht="15" hidden="false" customHeight="false" outlineLevel="0" collapsed="false">
      <c r="B32" s="5" t="n">
        <v>30</v>
      </c>
      <c r="C32" s="6" t="s">
        <v>113</v>
      </c>
      <c r="D32" s="5" t="s">
        <v>114</v>
      </c>
      <c r="E32" s="6" t="s">
        <v>91</v>
      </c>
      <c r="F32" s="6" t="s">
        <v>115</v>
      </c>
      <c r="G32" s="7" t="n">
        <v>221</v>
      </c>
      <c r="H32" s="6" t="s">
        <v>116</v>
      </c>
    </row>
    <row r="33" customFormat="false" ht="15" hidden="false" customHeight="false" outlineLevel="0" collapsed="false">
      <c r="B33" s="5" t="n">
        <v>31</v>
      </c>
      <c r="C33" s="6" t="s">
        <v>117</v>
      </c>
      <c r="D33" s="5" t="s">
        <v>118</v>
      </c>
      <c r="E33" s="6" t="s">
        <v>119</v>
      </c>
      <c r="F33" s="6" t="s">
        <v>120</v>
      </c>
      <c r="G33" s="7" t="n">
        <v>64.5</v>
      </c>
      <c r="H33" s="6" t="s">
        <v>121</v>
      </c>
    </row>
    <row r="34" customFormat="false" ht="15" hidden="false" customHeight="false" outlineLevel="0" collapsed="false">
      <c r="B34" s="5" t="n">
        <v>32</v>
      </c>
      <c r="C34" s="6" t="s">
        <v>122</v>
      </c>
      <c r="D34" s="5" t="s">
        <v>123</v>
      </c>
      <c r="E34" s="6" t="s">
        <v>119</v>
      </c>
      <c r="F34" s="6" t="s">
        <v>124</v>
      </c>
      <c r="G34" s="7" t="n">
        <v>93.5</v>
      </c>
      <c r="H34" s="6" t="s">
        <v>125</v>
      </c>
    </row>
    <row r="35" customFormat="false" ht="15" hidden="false" customHeight="false" outlineLevel="0" collapsed="false">
      <c r="B35" s="5" t="n">
        <v>33</v>
      </c>
      <c r="C35" s="6" t="s">
        <v>126</v>
      </c>
      <c r="D35" s="5" t="s">
        <v>127</v>
      </c>
      <c r="E35" s="6" t="s">
        <v>119</v>
      </c>
      <c r="F35" s="6" t="s">
        <v>128</v>
      </c>
      <c r="G35" s="7" t="n">
        <v>107</v>
      </c>
      <c r="H35" s="6" t="s">
        <v>129</v>
      </c>
    </row>
    <row r="36" customFormat="false" ht="15" hidden="false" customHeight="false" outlineLevel="0" collapsed="false">
      <c r="B36" s="2" t="n">
        <v>34</v>
      </c>
      <c r="C36" s="3" t="s">
        <v>130</v>
      </c>
      <c r="D36" s="2" t="s">
        <v>131</v>
      </c>
      <c r="E36" s="3" t="s">
        <v>132</v>
      </c>
      <c r="F36" s="3" t="s">
        <v>133</v>
      </c>
      <c r="G36" s="4"/>
      <c r="H36" s="3"/>
    </row>
    <row r="37" customFormat="false" ht="15" hidden="false" customHeight="false" outlineLevel="0" collapsed="false">
      <c r="B37" s="5" t="n">
        <v>35</v>
      </c>
      <c r="C37" s="6" t="s">
        <v>134</v>
      </c>
      <c r="D37" s="5" t="s">
        <v>135</v>
      </c>
      <c r="E37" s="6" t="s">
        <v>136</v>
      </c>
      <c r="F37" s="6" t="s">
        <v>137</v>
      </c>
      <c r="G37" s="7" t="n">
        <v>144</v>
      </c>
      <c r="H37" s="6" t="s">
        <v>138</v>
      </c>
    </row>
    <row r="38" customFormat="false" ht="15" hidden="false" customHeight="false" outlineLevel="0" collapsed="false">
      <c r="B38" s="2" t="n">
        <v>36</v>
      </c>
      <c r="C38" s="3" t="s">
        <v>139</v>
      </c>
      <c r="D38" s="2" t="s">
        <v>140</v>
      </c>
      <c r="E38" s="3" t="s">
        <v>136</v>
      </c>
      <c r="F38" s="3" t="s">
        <v>141</v>
      </c>
      <c r="G38" s="4"/>
      <c r="H38" s="3"/>
    </row>
    <row r="39" customFormat="false" ht="15" hidden="false" customHeight="false" outlineLevel="0" collapsed="false">
      <c r="B39" s="2" t="n">
        <v>37</v>
      </c>
      <c r="C39" s="3" t="s">
        <v>142</v>
      </c>
      <c r="D39" s="2" t="s">
        <v>143</v>
      </c>
      <c r="E39" s="3" t="s">
        <v>136</v>
      </c>
      <c r="F39" s="3" t="s">
        <v>144</v>
      </c>
      <c r="G39" s="4"/>
      <c r="H39" s="3"/>
    </row>
    <row r="40" customFormat="false" ht="15" hidden="false" customHeight="false" outlineLevel="0" collapsed="false">
      <c r="B40" s="2" t="n">
        <v>38</v>
      </c>
      <c r="C40" s="3" t="s">
        <v>145</v>
      </c>
      <c r="D40" s="2" t="s">
        <v>146</v>
      </c>
      <c r="E40" s="3" t="s">
        <v>136</v>
      </c>
      <c r="F40" s="3" t="s">
        <v>147</v>
      </c>
      <c r="G40" s="4"/>
      <c r="H40" s="3"/>
    </row>
    <row r="41" customFormat="false" ht="15" hidden="false" customHeight="false" outlineLevel="0" collapsed="false">
      <c r="B41" s="5" t="n">
        <v>39</v>
      </c>
      <c r="C41" s="6" t="s">
        <v>148</v>
      </c>
      <c r="D41" s="5" t="s">
        <v>149</v>
      </c>
      <c r="E41" s="6" t="s">
        <v>136</v>
      </c>
      <c r="F41" s="6" t="s">
        <v>150</v>
      </c>
      <c r="G41" s="7" t="n">
        <v>46</v>
      </c>
      <c r="H41" s="6" t="s">
        <v>151</v>
      </c>
    </row>
    <row r="42" customFormat="false" ht="15" hidden="false" customHeight="false" outlineLevel="0" collapsed="false">
      <c r="B42" s="2" t="n">
        <v>40</v>
      </c>
      <c r="C42" s="3" t="s">
        <v>152</v>
      </c>
      <c r="D42" s="2" t="s">
        <v>153</v>
      </c>
      <c r="E42" s="3" t="s">
        <v>136</v>
      </c>
      <c r="F42" s="3" t="s">
        <v>154</v>
      </c>
      <c r="G42" s="4"/>
      <c r="H42" s="3"/>
    </row>
    <row r="43" customFormat="false" ht="15" hidden="false" customHeight="false" outlineLevel="0" collapsed="false">
      <c r="B43" s="5" t="n">
        <v>41</v>
      </c>
      <c r="C43" s="6" t="s">
        <v>155</v>
      </c>
      <c r="D43" s="5" t="s">
        <v>156</v>
      </c>
      <c r="E43" s="6" t="s">
        <v>136</v>
      </c>
      <c r="F43" s="6" t="s">
        <v>157</v>
      </c>
      <c r="G43" s="7" t="n">
        <v>51</v>
      </c>
      <c r="H43" s="6" t="s">
        <v>158</v>
      </c>
    </row>
    <row r="44" customFormat="false" ht="15" hidden="false" customHeight="false" outlineLevel="0" collapsed="false">
      <c r="B44" s="2" t="n">
        <v>42</v>
      </c>
      <c r="C44" s="3" t="s">
        <v>159</v>
      </c>
      <c r="D44" s="2" t="s">
        <v>160</v>
      </c>
      <c r="E44" s="3" t="s">
        <v>136</v>
      </c>
      <c r="F44" s="3" t="s">
        <v>161</v>
      </c>
      <c r="G44" s="4"/>
      <c r="H44" s="3"/>
    </row>
    <row r="45" customFormat="false" ht="15" hidden="false" customHeight="false" outlineLevel="0" collapsed="false">
      <c r="B45" s="5" t="n">
        <v>43</v>
      </c>
      <c r="C45" s="6" t="s">
        <v>162</v>
      </c>
      <c r="D45" s="5" t="s">
        <v>163</v>
      </c>
      <c r="E45" s="6" t="s">
        <v>136</v>
      </c>
      <c r="F45" s="6" t="s">
        <v>164</v>
      </c>
      <c r="G45" s="7" t="n">
        <v>57.5</v>
      </c>
      <c r="H45" s="6" t="s">
        <v>165</v>
      </c>
    </row>
    <row r="46" customFormat="false" ht="15" hidden="false" customHeight="false" outlineLevel="0" collapsed="false">
      <c r="B46" s="2" t="n">
        <v>44</v>
      </c>
      <c r="C46" s="3" t="s">
        <v>166</v>
      </c>
      <c r="D46" s="2" t="s">
        <v>167</v>
      </c>
      <c r="E46" s="3" t="s">
        <v>136</v>
      </c>
      <c r="F46" s="3" t="s">
        <v>168</v>
      </c>
      <c r="G46" s="4"/>
      <c r="H46" s="3"/>
    </row>
    <row r="47" customFormat="false" ht="15" hidden="false" customHeight="false" outlineLevel="0" collapsed="false">
      <c r="B47" s="5" t="n">
        <v>45</v>
      </c>
      <c r="C47" s="6" t="s">
        <v>169</v>
      </c>
      <c r="D47" s="5" t="s">
        <v>170</v>
      </c>
      <c r="E47" s="6" t="s">
        <v>136</v>
      </c>
      <c r="F47" s="6" t="s">
        <v>171</v>
      </c>
      <c r="G47" s="7" t="n">
        <v>74</v>
      </c>
      <c r="H47" s="6" t="s">
        <v>172</v>
      </c>
    </row>
    <row r="48" customFormat="false" ht="15" hidden="false" customHeight="false" outlineLevel="0" collapsed="false">
      <c r="B48" s="5" t="n">
        <v>46</v>
      </c>
      <c r="C48" s="6" t="s">
        <v>173</v>
      </c>
      <c r="D48" s="5" t="s">
        <v>174</v>
      </c>
      <c r="E48" s="6" t="s">
        <v>136</v>
      </c>
      <c r="F48" s="6" t="s">
        <v>175</v>
      </c>
      <c r="G48" s="7" t="n">
        <v>83.2</v>
      </c>
      <c r="H48" s="6" t="s">
        <v>176</v>
      </c>
    </row>
    <row r="49" customFormat="false" ht="15" hidden="false" customHeight="false" outlineLevel="0" collapsed="false">
      <c r="B49" s="5" t="n">
        <v>47</v>
      </c>
      <c r="C49" s="6" t="s">
        <v>177</v>
      </c>
      <c r="D49" s="5" t="s">
        <v>178</v>
      </c>
      <c r="E49" s="6" t="s">
        <v>136</v>
      </c>
      <c r="F49" s="6" t="s">
        <v>179</v>
      </c>
      <c r="G49" s="7" t="n">
        <v>64</v>
      </c>
      <c r="H49" s="6" t="s">
        <v>180</v>
      </c>
    </row>
    <row r="50" customFormat="false" ht="15" hidden="false" customHeight="false" outlineLevel="0" collapsed="false">
      <c r="B50" s="2" t="n">
        <v>48</v>
      </c>
      <c r="C50" s="3" t="s">
        <v>181</v>
      </c>
      <c r="D50" s="2" t="s">
        <v>182</v>
      </c>
      <c r="E50" s="3" t="s">
        <v>136</v>
      </c>
      <c r="F50" s="3" t="s">
        <v>175</v>
      </c>
      <c r="G50" s="4"/>
      <c r="H50" s="3"/>
    </row>
    <row r="51" customFormat="false" ht="15" hidden="false" customHeight="false" outlineLevel="0" collapsed="false">
      <c r="B51" s="2" t="n">
        <v>49</v>
      </c>
      <c r="C51" s="3" t="s">
        <v>183</v>
      </c>
      <c r="D51" s="2" t="s">
        <v>184</v>
      </c>
      <c r="E51" s="3" t="s">
        <v>136</v>
      </c>
      <c r="F51" s="3" t="s">
        <v>185</v>
      </c>
      <c r="G51" s="4"/>
      <c r="H51" s="3"/>
    </row>
    <row r="52" customFormat="false" ht="15" hidden="false" customHeight="false" outlineLevel="0" collapsed="false">
      <c r="B52" s="2" t="n">
        <v>50</v>
      </c>
      <c r="C52" s="3" t="s">
        <v>186</v>
      </c>
      <c r="D52" s="2" t="s">
        <v>187</v>
      </c>
      <c r="E52" s="3" t="s">
        <v>136</v>
      </c>
      <c r="F52" s="3" t="s">
        <v>188</v>
      </c>
      <c r="G52" s="4"/>
      <c r="H52" s="3"/>
    </row>
    <row r="53" customFormat="false" ht="15" hidden="false" customHeight="false" outlineLevel="0" collapsed="false">
      <c r="B53" s="5" t="n">
        <v>51</v>
      </c>
      <c r="C53" s="6" t="s">
        <v>189</v>
      </c>
      <c r="D53" s="5" t="s">
        <v>190</v>
      </c>
      <c r="E53" s="6" t="s">
        <v>136</v>
      </c>
      <c r="F53" s="6" t="s">
        <v>185</v>
      </c>
      <c r="G53" s="7" t="n">
        <v>102.7</v>
      </c>
      <c r="H53" s="6" t="s">
        <v>191</v>
      </c>
    </row>
    <row r="54" customFormat="false" ht="15" hidden="false" customHeight="false" outlineLevel="0" collapsed="false">
      <c r="B54" s="5" t="n">
        <v>52</v>
      </c>
      <c r="C54" s="6" t="s">
        <v>192</v>
      </c>
      <c r="D54" s="5" t="s">
        <v>193</v>
      </c>
      <c r="E54" s="6" t="s">
        <v>136</v>
      </c>
      <c r="F54" s="6" t="s">
        <v>188</v>
      </c>
      <c r="G54" s="7" t="n">
        <v>116</v>
      </c>
      <c r="H54" s="6" t="s">
        <v>194</v>
      </c>
    </row>
    <row r="55" customFormat="false" ht="15" hidden="false" customHeight="false" outlineLevel="0" collapsed="false">
      <c r="B55" s="2" t="n">
        <v>53</v>
      </c>
      <c r="C55" s="3" t="s">
        <v>195</v>
      </c>
      <c r="D55" s="2" t="s">
        <v>196</v>
      </c>
      <c r="E55" s="3" t="s">
        <v>136</v>
      </c>
      <c r="F55" s="3" t="s">
        <v>197</v>
      </c>
      <c r="G55" s="4"/>
      <c r="H55" s="3"/>
    </row>
    <row r="56" customFormat="false" ht="15" hidden="false" customHeight="false" outlineLevel="0" collapsed="false">
      <c r="B56" s="5" t="n">
        <v>54</v>
      </c>
      <c r="C56" s="6" t="s">
        <v>198</v>
      </c>
      <c r="D56" s="5" t="s">
        <v>199</v>
      </c>
      <c r="E56" s="6" t="s">
        <v>136</v>
      </c>
      <c r="F56" s="6" t="s">
        <v>200</v>
      </c>
      <c r="G56" s="7" t="n">
        <v>185</v>
      </c>
      <c r="H56" s="6" t="s">
        <v>201</v>
      </c>
    </row>
    <row r="57" customFormat="false" ht="15" hidden="false" customHeight="false" outlineLevel="0" collapsed="false">
      <c r="B57" s="2" t="n">
        <v>55</v>
      </c>
      <c r="C57" s="3" t="s">
        <v>202</v>
      </c>
      <c r="D57" s="2" t="s">
        <v>203</v>
      </c>
      <c r="E57" s="3" t="s">
        <v>136</v>
      </c>
      <c r="F57" s="3" t="s">
        <v>204</v>
      </c>
      <c r="G57" s="4"/>
      <c r="H5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</cols>
  <sheetData>
    <row r="2" customFormat="false" ht="15" hidden="false" customHeight="false" outlineLevel="0" collapsed="false">
      <c r="B2" s="8" t="s">
        <v>3</v>
      </c>
      <c r="C2" s="8" t="s">
        <v>205</v>
      </c>
      <c r="D2" s="8" t="s">
        <v>206</v>
      </c>
      <c r="E2" s="8" t="s">
        <v>207</v>
      </c>
    </row>
    <row r="3" customFormat="false" ht="15" hidden="false" customHeight="false" outlineLevel="0" collapsed="false">
      <c r="B3" s="9" t="s">
        <v>136</v>
      </c>
      <c r="C3" s="10" t="n">
        <v>10</v>
      </c>
      <c r="D3" s="10" t="n">
        <v>21</v>
      </c>
      <c r="E3" s="11" t="n">
        <f aca="false">C3/D3</f>
        <v>0.476190476190476</v>
      </c>
    </row>
    <row r="4" customFormat="false" ht="15" hidden="false" customHeight="false" outlineLevel="0" collapsed="false">
      <c r="B4" s="9" t="s">
        <v>9</v>
      </c>
      <c r="C4" s="10" t="n">
        <v>7</v>
      </c>
      <c r="D4" s="10" t="n">
        <v>12</v>
      </c>
      <c r="E4" s="11" t="n">
        <f aca="false">C4/D4</f>
        <v>0.583333333333333</v>
      </c>
    </row>
    <row r="5" customFormat="false" ht="15" hidden="false" customHeight="false" outlineLevel="0" collapsed="false">
      <c r="B5" s="9" t="s">
        <v>52</v>
      </c>
      <c r="C5" s="10" t="n">
        <v>9</v>
      </c>
      <c r="D5" s="10" t="n">
        <v>10</v>
      </c>
      <c r="E5" s="11" t="n">
        <f aca="false">C5/D5</f>
        <v>0.9</v>
      </c>
    </row>
    <row r="6" customFormat="false" ht="15" hidden="false" customHeight="false" outlineLevel="0" collapsed="false">
      <c r="B6" s="9" t="s">
        <v>91</v>
      </c>
      <c r="C6" s="10" t="n">
        <v>6</v>
      </c>
      <c r="D6" s="10" t="n">
        <v>8</v>
      </c>
      <c r="E6" s="11" t="n">
        <f aca="false">C6/D6</f>
        <v>0.75</v>
      </c>
    </row>
    <row r="7" customFormat="false" ht="15" hidden="false" customHeight="false" outlineLevel="0" collapsed="false">
      <c r="B7" s="9" t="s">
        <v>119</v>
      </c>
      <c r="C7" s="10" t="n">
        <v>3</v>
      </c>
      <c r="D7" s="10" t="n">
        <v>3</v>
      </c>
      <c r="E7" s="11" t="n">
        <f aca="false">C7/D7</f>
        <v>1</v>
      </c>
    </row>
    <row r="8" customFormat="false" ht="15" hidden="false" customHeight="false" outlineLevel="0" collapsed="false">
      <c r="B8" s="9" t="s">
        <v>132</v>
      </c>
      <c r="C8" s="10" t="n">
        <v>0</v>
      </c>
      <c r="D8" s="10" t="n">
        <v>1</v>
      </c>
      <c r="E8" s="11" t="n">
        <f aca="false">C8/D8</f>
        <v>0</v>
      </c>
    </row>
    <row r="9" customFormat="false" ht="15" hidden="false" customHeight="false" outlineLevel="0" collapsed="false">
      <c r="B9" s="12" t="s">
        <v>208</v>
      </c>
      <c r="C9" s="13" t="n">
        <f aca="false">SUM(C3:C8)</f>
        <v>35</v>
      </c>
      <c r="D9" s="13" t="n">
        <f aca="false">SUM(D3:D8)</f>
        <v>55</v>
      </c>
      <c r="E9" s="14" t="n">
        <f aca="false">C9/D9</f>
        <v>0.636363636363636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5" hidden="false" customHeight="false" outlineLevel="0" collapsed="false">
      <c r="B2" s="15" t="s">
        <v>209</v>
      </c>
    </row>
    <row r="3" customFormat="false" ht="15" hidden="false" customHeight="false" outlineLevel="0" collapsed="false">
      <c r="B3" s="16"/>
    </row>
    <row r="4" customFormat="false" ht="15" hidden="false" customHeight="false" outlineLevel="0" collapsed="false">
      <c r="B4" s="16" t="s">
        <v>210</v>
      </c>
    </row>
    <row r="5" customFormat="false" ht="15" hidden="false" customHeight="false" outlineLevel="0" collapsed="false">
      <c r="B5" s="16" t="s">
        <v>211</v>
      </c>
    </row>
    <row r="6" customFormat="false" ht="15" hidden="false" customHeight="false" outlineLevel="0" collapsed="false">
      <c r="B6" s="16" t="s">
        <v>212</v>
      </c>
    </row>
    <row r="7" customFormat="false" ht="15" hidden="false" customHeight="false" outlineLevel="0" collapsed="false">
      <c r="B7" s="16" t="s">
        <v>213</v>
      </c>
    </row>
    <row r="8" customFormat="false" ht="15" hidden="false" customHeight="false" outlineLevel="0" collapsed="false">
      <c r="B8" s="16"/>
    </row>
    <row r="9" customFormat="false" ht="15" hidden="false" customHeight="false" outlineLevel="0" collapsed="false">
      <c r="B9" s="15" t="s">
        <v>214</v>
      </c>
    </row>
    <row r="10" customFormat="false" ht="15" hidden="false" customHeight="false" outlineLevel="0" collapsed="false">
      <c r="B10" s="16" t="s">
        <v>215</v>
      </c>
    </row>
    <row r="11" customFormat="false" ht="15" hidden="false" customHeight="false" outlineLevel="0" collapsed="false">
      <c r="B11" s="16" t="s">
        <v>216</v>
      </c>
    </row>
    <row r="12" customFormat="false" ht="15" hidden="false" customHeight="false" outlineLevel="0" collapsed="false">
      <c r="B12" s="16" t="s">
        <v>217</v>
      </c>
    </row>
    <row r="13" customFormat="false" ht="15" hidden="false" customHeight="false" outlineLevel="0" collapsed="false">
      <c r="B13" s="16" t="s">
        <v>218</v>
      </c>
    </row>
    <row r="14" customFormat="false" ht="15" hidden="false" customHeight="false" outlineLevel="0" collapsed="false">
      <c r="B14" s="16"/>
    </row>
    <row r="15" customFormat="false" ht="15" hidden="false" customHeight="false" outlineLevel="0" collapsed="false">
      <c r="B15" s="15" t="s">
        <v>219</v>
      </c>
    </row>
    <row r="16" customFormat="false" ht="15" hidden="false" customHeight="false" outlineLevel="0" collapsed="false">
      <c r="B16" s="16" t="s">
        <v>220</v>
      </c>
    </row>
    <row r="17" customFormat="false" ht="15" hidden="false" customHeight="false" outlineLevel="0" collapsed="false">
      <c r="B17" s="16" t="s">
        <v>221</v>
      </c>
    </row>
    <row r="18" customFormat="false" ht="15" hidden="false" customHeight="false" outlineLevel="0" collapsed="false">
      <c r="B18" s="16" t="s">
        <v>222</v>
      </c>
    </row>
    <row r="19" customFormat="false" ht="15" hidden="false" customHeight="false" outlineLevel="0" collapsed="false">
      <c r="B19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2026-07-14T13:36:47Z</dcterms:created>
  <dc:creator>openpyxl</dc:creator>
  <dc:description/>
  <dc:language>en-US</dc:language>
  <cp:lastModifiedBy/>
  <dcterms:modified xsi:type="dcterms:W3CDTF">2026-07-14T13:36:47Z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