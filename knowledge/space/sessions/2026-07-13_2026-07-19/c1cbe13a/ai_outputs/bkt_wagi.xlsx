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kt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<sst xmlns="http://schemas.openxmlformats.org/spreadsheetml/2006/main" count="512" uniqueCount="391">
  <si>
    <t xml:space="preserve">#</t>
  </si>
  <si>
    <t xml:space="preserve">Nazwa oryginalna</t>
  </si>
  <si>
    <t xml:space="preserve">Rozmiar</t>
  </si>
  <si>
    <t xml:space="preserve">Seria</t>
  </si>
  <si>
    <t xml:space="preserve">Indeks/opis</t>
  </si>
  <si>
    <t xml:space="preserve">Waga (kg)</t>
  </si>
  <si>
    <t xml:space="preserve">Źródło wagi</t>
  </si>
  <si>
    <t xml:space="preserve">80-12 BKT 6.5/ AS 504 6PR TT</t>
  </si>
  <si>
    <t xml:space="preserve">80-12</t>
  </si>
  <si>
    <t xml:space="preserve">6.5/</t>
  </si>
  <si>
    <t xml:space="preserve">AS 504 6PR TT</t>
  </si>
  <si>
    <t xml:space="preserve">80-15 BKT 6.5/ AS 505 6PR TL</t>
  </si>
  <si>
    <t xml:space="preserve">80-15</t>
  </si>
  <si>
    <t xml:space="preserve">AS 505 6PR TL</t>
  </si>
  <si>
    <t xml:space="preserve">440/65R20 BKT Agrimax RT 657 141A8/138D TL</t>
  </si>
  <si>
    <t xml:space="preserve">440/65R20</t>
  </si>
  <si>
    <t xml:space="preserve">AGRIMAX RT 657</t>
  </si>
  <si>
    <t xml:space="preserve">141A8/138D TL</t>
  </si>
  <si>
    <t xml:space="preserve">https://onlineshop.bohnenkamp-suisse.ch/de/reifen-bkt-agrimax-rt-657-440-65-r-20-15727042</t>
  </si>
  <si>
    <t xml:space="preserve">320/70R24 BKT Agrimax RT 765 116D TL</t>
  </si>
  <si>
    <t xml:space="preserve">320/70R24</t>
  </si>
  <si>
    <t xml:space="preserve">AGRIMAX RT 765</t>
  </si>
  <si>
    <t xml:space="preserve">116D TL</t>
  </si>
  <si>
    <t xml:space="preserve">https://www.kreissler24.de/320-70r24-116d-bkt-agrimax-rt-765-tl.html</t>
  </si>
  <si>
    <t xml:space="preserve">360/70R20 BKT Agrimax RT 765 129A8/129B TL demo</t>
  </si>
  <si>
    <t xml:space="preserve">360/70R20</t>
  </si>
  <si>
    <t xml:space="preserve">129A8/129B TL demo</t>
  </si>
  <si>
    <t xml:space="preserve">https://www.heuver.com/product/b36070020bka876500/360-70r20-bkt-agrimax-rt-765-129a8-129b-tl</t>
  </si>
  <si>
    <t xml:space="preserve">380/70R24 BKT Agrimax RT 765 125D TL demo</t>
  </si>
  <si>
    <t xml:space="preserve">380/70R24</t>
  </si>
  <si>
    <t xml:space="preserve">125D TL demo</t>
  </si>
  <si>
    <t xml:space="preserve">https://www.heuver.com/product/b38070024bka876500/380-70r24-bkt-agrimax-rt-765-125a8-125b-tl</t>
  </si>
  <si>
    <t xml:space="preserve">420/70R30 BKT Agrimax RT 765 134D TL demo</t>
  </si>
  <si>
    <t xml:space="preserve">420/70R30</t>
  </si>
  <si>
    <t xml:space="preserve">134D TL demo</t>
  </si>
  <si>
    <t xml:space="preserve">https://irmi-fischbacher.de/420-70r30-bkt-rt-765-134d/</t>
  </si>
  <si>
    <t xml:space="preserve">480/70R28 BKT Agrimax RT 765 140D TL</t>
  </si>
  <si>
    <t xml:space="preserve">480/70R28</t>
  </si>
  <si>
    <t xml:space="preserve">140D TL</t>
  </si>
  <si>
    <t xml:space="preserve">https://www.farmtyresni.com/product-page/bkt-agrimax-480-70r28</t>
  </si>
  <si>
    <t xml:space="preserve">650/75R38 BKT Agrimax RT 765 169D TL</t>
  </si>
  <si>
    <t xml:space="preserve">650/75R38</t>
  </si>
  <si>
    <t xml:space="preserve">169D TL</t>
  </si>
  <si>
    <t xml:space="preserve">https://www.kreissler24.de/650-75r38-169d-bkt-agrimax-rt-765.html</t>
  </si>
  <si>
    <t xml:space="preserve">710/70R42 BKT Agrimax RT 765 173D TL</t>
  </si>
  <si>
    <t xml:space="preserve">710/70R42</t>
  </si>
  <si>
    <t xml:space="preserve">173D TL</t>
  </si>
  <si>
    <t xml:space="preserve">https://big-shina.ru/e-store/tires/shiny_dlja_selskohozjajstvennoj_tehniki/shina-bkt-710-70r42-173d-176a8-agrimax-rt-765m-tl/</t>
  </si>
  <si>
    <t xml:space="preserve">210/95R18 BKT Agrimax RT 855 108A8/108B TL demo</t>
  </si>
  <si>
    <t xml:space="preserve">210/95R18</t>
  </si>
  <si>
    <t xml:space="preserve">AGRIMAX RT 855</t>
  </si>
  <si>
    <t xml:space="preserve">108A8/108B TL demo</t>
  </si>
  <si>
    <t xml:space="preserve">https://onlineshop.bohnenkamp.de/en/tyre-bkt-agrimax-rt-855-210-95-r-18-15726035</t>
  </si>
  <si>
    <t xml:space="preserve">210/95R18 BKT Agrimax RT 855 108A8/108B TL</t>
  </si>
  <si>
    <t xml:space="preserve">108A8/108B TL</t>
  </si>
  <si>
    <t xml:space="preserve">250/85R24 BKT Agrimax RT 855 109A8/109B TL</t>
  </si>
  <si>
    <t xml:space="preserve">250/85R24</t>
  </si>
  <si>
    <t xml:space="preserve">109A8/109B TL</t>
  </si>
  <si>
    <t xml:space="preserve">https://onlineshop.bohnenkamp.at/de/reifen-bkt-agrimax-rt-855-250-85-r-24-15726085</t>
  </si>
  <si>
    <t xml:space="preserve">320/85R24 BKT Agrimax RT 855 122A8/122B TL</t>
  </si>
  <si>
    <t xml:space="preserve">320/85R24</t>
  </si>
  <si>
    <t xml:space="preserve">122A8/122B TL</t>
  </si>
  <si>
    <t xml:space="preserve">https://www.kreissler24.de/320-85r24-122a8-122b-bkt-agrimax-rt855.html</t>
  </si>
  <si>
    <t xml:space="preserve">320/85R34 BKT Agrimax RT 855 141A8 TL</t>
  </si>
  <si>
    <t xml:space="preserve">320/85R34</t>
  </si>
  <si>
    <t xml:space="preserve">141A8 TL</t>
  </si>
  <si>
    <t xml:space="preserve">https://www.heuver.com/product/b32085034bka885500/320-85r34-bkt-agrimax-rt-855-141a8-141b-tl</t>
  </si>
  <si>
    <t xml:space="preserve">340/85R38 BKT Agrimax RT 855 133A8/133B TL demo</t>
  </si>
  <si>
    <t xml:space="preserve">340/85R38</t>
  </si>
  <si>
    <t xml:space="preserve">133A8/133B TL demo</t>
  </si>
  <si>
    <t xml:space="preserve">https://onlineshop.bohnenkamp-suisse.ch/de/reifen-bkt-agrimax-rt-855-340-85-r-38-15726370</t>
  </si>
  <si>
    <t xml:space="preserve">380/85R38 BKT Agrimax RT 855 139A8/139B TL</t>
  </si>
  <si>
    <t xml:space="preserve">380/85R38</t>
  </si>
  <si>
    <t xml:space="preserve">139A8/139B TL</t>
  </si>
  <si>
    <t xml:space="preserve">https://www.kreissler24.de/380-85r38-139a8-139b-bkt-agrimax-rt855-14-9r38.html</t>
  </si>
  <si>
    <t xml:space="preserve">420/85R30 BKT Agrimax RT 855 140A8/140B TL</t>
  </si>
  <si>
    <t xml:space="preserve">420/85R30</t>
  </si>
  <si>
    <t xml:space="preserve">140A8/140B TL</t>
  </si>
  <si>
    <t xml:space="preserve">https://onlineshop.bohnenkamp.at/de/reifen-bkt-agrimax-rt-855-420-85-r-30-15726240</t>
  </si>
  <si>
    <t xml:space="preserve">520/85R46 BKT Agrimax RT 855 158A8/158B TL</t>
  </si>
  <si>
    <t xml:space="preserve">520/85R46</t>
  </si>
  <si>
    <t xml:space="preserve">158A8/158B TL</t>
  </si>
  <si>
    <t xml:space="preserve">https://www.heuver.com/product/b52085046bka885500/520-85r46-bkt-agrimax-rt-855-158a8-158b-tl</t>
  </si>
  <si>
    <t xml:space="preserve">520/85R50 BKT Agrimax RT 855 165A8/165B TL</t>
  </si>
  <si>
    <t xml:space="preserve">520/85R50</t>
  </si>
  <si>
    <t xml:space="preserve">165A8/165B TL</t>
  </si>
  <si>
    <t xml:space="preserve">https://shop.bohnenkamp-baltic.com/520-85r50-bkt-agrimax-rt-855-165b-165a8-r1w-tl.html</t>
  </si>
  <si>
    <t xml:space="preserve">320/90R42 BKT Agrimax RT 945 139A8/139B TL</t>
  </si>
  <si>
    <t xml:space="preserve">320/90R42</t>
  </si>
  <si>
    <t xml:space="preserve">AGRIMAX RT 945</t>
  </si>
  <si>
    <t xml:space="preserve">https://onlineshop.bohnenkamp.de/de/reifen-bkt-agrimax-rt-945-320-90-r-42-15727490</t>
  </si>
  <si>
    <t xml:space="preserve">320/90R46 BKT Agrimax RT 945 148D/151A8 TL</t>
  </si>
  <si>
    <t xml:space="preserve">320/90R46</t>
  </si>
  <si>
    <t xml:space="preserve">148D/151A8 TL</t>
  </si>
  <si>
    <t xml:space="preserve">https://www.allpneus.com/catalogue/pneus-agricole/bkt/pneus-roue-motrice/agrimax-rt-945/380439</t>
  </si>
  <si>
    <t xml:space="preserve">320/90R54 BKT Agrimax RT 945 156A8/156B TL</t>
  </si>
  <si>
    <t xml:space="preserve">320/90R54</t>
  </si>
  <si>
    <t xml:space="preserve">156A8/156B TL</t>
  </si>
  <si>
    <t xml:space="preserve">https://shop.bohnenkamp.uz/320-90r54-bkt-agrimax-rt-945-156a8-156b-r1w-tl.html</t>
  </si>
  <si>
    <t xml:space="preserve">380/90R50 BKT Agrimax RT 945 160A8/160B TL</t>
  </si>
  <si>
    <t xml:space="preserve">380/90R50</t>
  </si>
  <si>
    <t xml:space="preserve">160A8/160B TL</t>
  </si>
  <si>
    <t xml:space="preserve">230/95R42 BKT Agrimax RT 955 133A8/133B TL</t>
  </si>
  <si>
    <t xml:space="preserve">230/95R42</t>
  </si>
  <si>
    <t xml:space="preserve">AGRIMAX RT 955</t>
  </si>
  <si>
    <t xml:space="preserve">133A8/133B TL</t>
  </si>
  <si>
    <t xml:space="preserve">270/95R32 BKT Agrimax RT 955 136A8/136B TL</t>
  </si>
  <si>
    <t xml:space="preserve">270/95R32</t>
  </si>
  <si>
    <t xml:space="preserve">136A8/136B TL</t>
  </si>
  <si>
    <t xml:space="preserve">https://onlineshop.bohnenkamp-suisse.ch/de/reifen-bkt-agrimax-rt-955-270-95-r-32-15727450</t>
  </si>
  <si>
    <t xml:space="preserve">270/95R38 BKT Agrimax RT 955 140A8/140B TL</t>
  </si>
  <si>
    <t xml:space="preserve">270/95R38</t>
  </si>
  <si>
    <t xml:space="preserve">https://www.kreissler24.de/270-95r38-140-a8-140b-bkt-agrimax-rt-955-11-2r38.html</t>
  </si>
  <si>
    <t xml:space="preserve">270/95R48 BKT Agrimax RT 955 144A8/144B TL</t>
  </si>
  <si>
    <t xml:space="preserve">270/95R48</t>
  </si>
  <si>
    <t xml:space="preserve">144A8/144B TL</t>
  </si>
  <si>
    <t xml:space="preserve">https://www.e-agropneu.cz/pneumatiky/27095-r48-tl-bkt-agrimax-rt-k44511.htm</t>
  </si>
  <si>
    <t xml:space="preserve">300/85R42 BKT Agrimax RT 955 144A8/141B TL</t>
  </si>
  <si>
    <t xml:space="preserve">300/85R42</t>
  </si>
  <si>
    <t xml:space="preserve">144A8/141B TL</t>
  </si>
  <si>
    <t xml:space="preserve">https://www.gumiarzenal.hu/30085r42_bkt_agrimax_rt_955_traktor_kombajn_mg_gumi_4773</t>
  </si>
  <si>
    <t xml:space="preserve">300/95R46 BKT Agrimax RT 955 148A8/148B TL demo</t>
  </si>
  <si>
    <t xml:space="preserve">300/95R46</t>
  </si>
  <si>
    <t xml:space="preserve">148A8/148B TL demo</t>
  </si>
  <si>
    <t xml:space="preserve">https://onlineshop.bohnenkamp.de/de/reifen-bkt-agrimax-rt-955-300-95-r-46-72500352</t>
  </si>
  <si>
    <t xml:space="preserve">300/95R52 BKT Agrimax RT 955 151A8/151B TL</t>
  </si>
  <si>
    <t xml:space="preserve">300/95R52</t>
  </si>
  <si>
    <t xml:space="preserve">151A8/151B TL</t>
  </si>
  <si>
    <t xml:space="preserve">https://www.heuver.com/product/b30095052bka895500/300-95r52-bkt-agrimax-rt-955-151a8-151b-tl</t>
  </si>
  <si>
    <t xml:space="preserve">340/85R46 BKT Agrimax RT 955 150A8/150B TL</t>
  </si>
  <si>
    <t xml:space="preserve">340/85R46</t>
  </si>
  <si>
    <t xml:space="preserve">150A8/150B TL</t>
  </si>
  <si>
    <t xml:space="preserve">520/85R42 BKT AGRIMAX TERIS CHO 168D TL</t>
  </si>
  <si>
    <t xml:space="preserve">520/85R42</t>
  </si>
  <si>
    <t xml:space="preserve">AGRIMAX TERIS</t>
  </si>
  <si>
    <t xml:space="preserve">CHO 168D TL</t>
  </si>
  <si>
    <t xml:space="preserve">https://simpletire.com/tire-sizes/520-85r42</t>
  </si>
  <si>
    <t xml:space="preserve">185/65-15 BKT AS 507 4PR TL</t>
  </si>
  <si>
    <t xml:space="preserve">185/65-15</t>
  </si>
  <si>
    <t xml:space="preserve">AS</t>
  </si>
  <si>
    <t xml:space="preserve">507 4PR TL</t>
  </si>
  <si>
    <t xml:space="preserve">https://www.e-agropneu.cz/pneumatiky/18565-15-tl-bkt-as-507-bkt-k43924.htm [dopasowano 'BKT AS 507']</t>
  </si>
  <si>
    <t xml:space="preserve">550/45-22.5 BKT AS 509 20PR TL</t>
  </si>
  <si>
    <t xml:space="preserve">550/45-22.5</t>
  </si>
  <si>
    <t xml:space="preserve">509 20PR TL</t>
  </si>
  <si>
    <t xml:space="preserve">https://shop.bohnenkamp-baltic.com/550-45-22-5-20pr-bkt-flotation-648-166a8-154-a8-tl.html [dopasowano 'BKT AS (FLOT 648)']</t>
  </si>
  <si>
    <t xml:space="preserve">15.0/55-17 BKT AS 504 14PR TL</t>
  </si>
  <si>
    <t xml:space="preserve">15.0/55-17</t>
  </si>
  <si>
    <t xml:space="preserve">AS 504</t>
  </si>
  <si>
    <t xml:space="preserve">14PR TL</t>
  </si>
  <si>
    <t xml:space="preserve">https://onlineshop.bohnenkamp.de/de/reifen-bkt-as-504-15-0-55-17-15711865</t>
  </si>
  <si>
    <t xml:space="preserve">15.5/80-24 BKT AS 504 16PR TL</t>
  </si>
  <si>
    <t xml:space="preserve">15.5/80-24</t>
  </si>
  <si>
    <t xml:space="preserve">16PR TL</t>
  </si>
  <si>
    <t xml:space="preserve">https://www.heuver.com/product/b15580024bk1650400/15-5-80-24-bkt-as-504-16pr-tl</t>
  </si>
  <si>
    <t xml:space="preserve">16.0/70-20 BKT AS 504 14PR TL</t>
  </si>
  <si>
    <t xml:space="preserve">16.0/70-20</t>
  </si>
  <si>
    <t xml:space="preserve">https://www.e-agropneu.cz/pneumatiky/16-070-20-tl-bkt-as-504-14pr-k44044.htm</t>
  </si>
  <si>
    <t xml:space="preserve">5.00-15 BKT AS 504 6PR TT</t>
  </si>
  <si>
    <t xml:space="preserve">5.00-15</t>
  </si>
  <si>
    <t xml:space="preserve">6PR TT</t>
  </si>
  <si>
    <t xml:space="preserve">https://onlineshop.bohnenkamp.at/de/reifen-bkt-as-504-5-00-15-15711680</t>
  </si>
  <si>
    <t xml:space="preserve">6.00-16 BKT AS 504 6PR TT</t>
  </si>
  <si>
    <t xml:space="preserve">6.00-16</t>
  </si>
  <si>
    <t xml:space="preserve">https://www.reifen-ketten.at/reifen/detail/18699</t>
  </si>
  <si>
    <t xml:space="preserve">7.50-16 BKT AS 504 8PR TL</t>
  </si>
  <si>
    <t xml:space="preserve">7.50-16</t>
  </si>
  <si>
    <t xml:space="preserve">8PR TL</t>
  </si>
  <si>
    <t xml:space="preserve">https://www.heuver.com/product/b07500016bk0850401/7-50-16-bkt-as-504-99a8-112a8-8pr-tl</t>
  </si>
  <si>
    <t xml:space="preserve">12.5/80-18 BKT AT 603 12PR TL</t>
  </si>
  <si>
    <t xml:space="preserve">12.5/80-18</t>
  </si>
  <si>
    <t xml:space="preserve">AT</t>
  </si>
  <si>
    <t xml:space="preserve">603 12PR TL</t>
  </si>
  <si>
    <t xml:space="preserve">https://onlineshop.bohnenkamp.de/de/reifen-bkt-at-603-12-5-80-18-15772520 [dopasowano 'BKT AT 603']</t>
  </si>
  <si>
    <t xml:space="preserve">15.5/60-18 BKT AT 621 141A2/130A7 12PR TL</t>
  </si>
  <si>
    <t xml:space="preserve">15.5/60-18</t>
  </si>
  <si>
    <t xml:space="preserve">AT 621</t>
  </si>
  <si>
    <t xml:space="preserve">141A2/130A7 12PR TL</t>
  </si>
  <si>
    <t xml:space="preserve">https://sgshina.ru/stroitelnye/15-5-60-18-12pr-bkt-at-621-141a2-tl</t>
  </si>
  <si>
    <t xml:space="preserve">10.0/75-15.3 BKT AW 909 14PR TL</t>
  </si>
  <si>
    <t xml:space="preserve">10.0/75-15.3</t>
  </si>
  <si>
    <t xml:space="preserve">AW</t>
  </si>
  <si>
    <t xml:space="preserve">909 14PR TL</t>
  </si>
  <si>
    <t xml:space="preserve">https://taned.ru/shop/tire-10-0-75-15-3-14pr-bkt-aw-909-tl/ [dopasowano 'BKT AW 909']</t>
  </si>
  <si>
    <t xml:space="preserve">10.0/80-12 BKT AW 909 10PR TL</t>
  </si>
  <si>
    <t xml:space="preserve">10.0/80-12</t>
  </si>
  <si>
    <t xml:space="preserve">909 10PR TL</t>
  </si>
  <si>
    <t xml:space="preserve">https://www.heuver.com/product/b01080012bk1090900/10-0-80-12-bkt-aw-909-126a6-121a8-10pr-tl [dopasowano 'BKT AW 909']</t>
  </si>
  <si>
    <t xml:space="preserve">11.5/80-15.3 BKT AW 909 16PR TL</t>
  </si>
  <si>
    <t xml:space="preserve">11.5/80-15.3</t>
  </si>
  <si>
    <t xml:space="preserve">909 16PR TL</t>
  </si>
  <si>
    <t xml:space="preserve">https://shop.bohnenkamp-baltic.com/11-5-80-15-3-16pr-bkt-aw-909-v-line-141a8-tl.html [dopasowano 'BKT AW 909']</t>
  </si>
  <si>
    <t xml:space="preserve">13.0/55-16 BKT AW 702 18PR TL</t>
  </si>
  <si>
    <t xml:space="preserve">13.0/55-16</t>
  </si>
  <si>
    <t xml:space="preserve">702 18PR TL</t>
  </si>
  <si>
    <t xml:space="preserve">https://onlineshop.bohnenkamp.de/de/reifen-bkt-aw-702-13-0-55-16-15711839 [dopasowano 'BKT AW 702']</t>
  </si>
  <si>
    <t xml:space="preserve">15.0/55-17 BKT AW 909 14PR TL</t>
  </si>
  <si>
    <t xml:space="preserve">https://www.heba-reifen.at/produkt/bkt-15-0-55-17-tl-141a8-14pr-aw-705/ [dopasowano 'BKT AW 909']</t>
  </si>
  <si>
    <t xml:space="preserve">15.0/70-18 BKT AW 705 16PR TL</t>
  </si>
  <si>
    <t xml:space="preserve">15.0/70-18</t>
  </si>
  <si>
    <t xml:space="preserve">AW 705</t>
  </si>
  <si>
    <t xml:space="preserve">https://www.kreissler24.de/15-0-70-18-16pr-bkt-aw-705-tl.html</t>
  </si>
  <si>
    <t xml:space="preserve">19.0/45-17 BKT AW 708 22PR TL</t>
  </si>
  <si>
    <t xml:space="preserve">19.0/45-17</t>
  </si>
  <si>
    <t xml:space="preserve">AW 708</t>
  </si>
  <si>
    <t xml:space="preserve">22PR TL</t>
  </si>
  <si>
    <t xml:space="preserve">https://onlineshop.bohnenkamp.at/de/reifen-bkt-aw-708-19-0-45-17-15712421</t>
  </si>
  <si>
    <t xml:space="preserve">340/80-18 BKT Con Star 143A8 TL</t>
  </si>
  <si>
    <t xml:space="preserve">340/80-18</t>
  </si>
  <si>
    <t xml:space="preserve">CON STAR</t>
  </si>
  <si>
    <t xml:space="preserve">143A8 TL</t>
  </si>
  <si>
    <t xml:space="preserve">https://sterennpneumatiques.com/pneu-340-80-18-con-star-ind-e-143a8-tl--443431</t>
  </si>
  <si>
    <t xml:space="preserve">340/80-20 BKT Con Star 144A8 TL</t>
  </si>
  <si>
    <t xml:space="preserve">340/80-20</t>
  </si>
  <si>
    <t xml:space="preserve">144A8 TL</t>
  </si>
  <si>
    <t xml:space="preserve">https://taned.ru/shop/tire-12-5-20-bkt-con-star-tl/</t>
  </si>
  <si>
    <t xml:space="preserve">400/70-24 BKT Con Star 158A8 TL</t>
  </si>
  <si>
    <t xml:space="preserve">400/70-24</t>
  </si>
  <si>
    <t xml:space="preserve">158A8 TL</t>
  </si>
  <si>
    <t xml:space="preserve">https://www.e-agropneu.cz/pneumatiky/40070-24-tl-bkt-con-star-158a8-k44808.htm</t>
  </si>
  <si>
    <t xml:space="preserve">400/80-24 BKT Con Star 162A8 20PR TL</t>
  </si>
  <si>
    <t xml:space="preserve">400/80-24</t>
  </si>
  <si>
    <t xml:space="preserve">162A8 20PR TL</t>
  </si>
  <si>
    <t xml:space="preserve">https://www.e-agropneu.cz/pneumatiky/40080-24-tl-bkt-con-star-20pr-k44806.htm</t>
  </si>
  <si>
    <t xml:space="preserve">440/80-24 BKT Con Star 168A8 22PR TL</t>
  </si>
  <si>
    <t xml:space="preserve">440/80-24</t>
  </si>
  <si>
    <t xml:space="preserve">168A8 22PR TL</t>
  </si>
  <si>
    <t xml:space="preserve">https://bks.group/shinyi-dlya-specztexniki/44080-24-169-24-17080-24-22pr-bkt-con-star-ind-168a8-tl/</t>
  </si>
  <si>
    <t xml:space="preserve">440/80-28 BKT Con Star 156A8 TL</t>
  </si>
  <si>
    <t xml:space="preserve">440/80-28</t>
  </si>
  <si>
    <t xml:space="preserve">156A8 TL</t>
  </si>
  <si>
    <t xml:space="preserve">https://www.xlpneus.com/fr/pneus-industriels/45430-pneu-bkt-con-star-440-80-28-156a8-8903094051199.html</t>
  </si>
  <si>
    <t xml:space="preserve">480/80-26 BKT Con Star 160A8 TL</t>
  </si>
  <si>
    <t xml:space="preserve">480/80-26</t>
  </si>
  <si>
    <t xml:space="preserve">160A8 TL</t>
  </si>
  <si>
    <t xml:space="preserve">https://sgshina.ru/stroitelnye/480-80-26-18-4-26-bkt-con-star-ind-160a8-tl</t>
  </si>
  <si>
    <t xml:space="preserve">10.00-20 BKT EM933 (zam.10.00-20)</t>
  </si>
  <si>
    <t xml:space="preserve">10.00-20</t>
  </si>
  <si>
    <t xml:space="preserve">EM933</t>
  </si>
  <si>
    <t xml:space="preserve">600/55R26.5 BKT FL 630 Super 165D TL demo</t>
  </si>
  <si>
    <t xml:space="preserve">600/55R26.5</t>
  </si>
  <si>
    <t xml:space="preserve">FL 630 SUPER</t>
  </si>
  <si>
    <t xml:space="preserve">165D TL demo</t>
  </si>
  <si>
    <t xml:space="preserve">https://www.kreissler24.de/600-55r26-5-176a8-165d-bkt-fl-630-ultra.html [dopasowano 'BKT FL 630 (Ultra, ta wielkość/LI)']</t>
  </si>
  <si>
    <t xml:space="preserve">500/45-22.5 BKT Flot 558 12PR TL</t>
  </si>
  <si>
    <t xml:space="preserve">500/45-22.5</t>
  </si>
  <si>
    <t xml:space="preserve">FLOT 558</t>
  </si>
  <si>
    <t xml:space="preserve">12PR TL</t>
  </si>
  <si>
    <t xml:space="preserve">https://onlineshop.bohnenkamp-suisse.ch/de/reifen-bkt-flotation-558-500-45-22-5-15712515</t>
  </si>
  <si>
    <t xml:space="preserve">550/45-22.5 BKT FLOT 648 16PR TL</t>
  </si>
  <si>
    <t xml:space="preserve">FLOT 648</t>
  </si>
  <si>
    <t xml:space="preserve">https://www.allpneus.com/catalogue/pneus-agricole/bkt/pneus-remorque-agricole/fl-648/393902</t>
  </si>
  <si>
    <t xml:space="preserve">24x8.50-14 BKT LG 306 4PR TL</t>
  </si>
  <si>
    <t xml:space="preserve">24x8.50-14</t>
  </si>
  <si>
    <t xml:space="preserve">LG</t>
  </si>
  <si>
    <t xml:space="preserve">306 4PR TL</t>
  </si>
  <si>
    <t xml:space="preserve">25x8.50-14 BKT LG 306 6PR TL</t>
  </si>
  <si>
    <t xml:space="preserve">25x8.50-14</t>
  </si>
  <si>
    <t xml:space="preserve">306 6PR TL</t>
  </si>
  <si>
    <t xml:space="preserve">https://www.kreissler24.de/25x8-50-14-6pr-bkt-lg-306-rasenmaeherreifen-tl.html [dopasowano 'BKT LG 306']</t>
  </si>
  <si>
    <t xml:space="preserve">26x12.00-12 BKT LG 306 8PR TL</t>
  </si>
  <si>
    <t xml:space="preserve">26x12.00-12</t>
  </si>
  <si>
    <t xml:space="preserve">306 8PR TL</t>
  </si>
  <si>
    <t xml:space="preserve">https://spec-tires.ru/catalog/ [dopasowano 'BKT LG 306']</t>
  </si>
  <si>
    <t xml:space="preserve">27x10.50-15 BKT LG 306 12PR TL</t>
  </si>
  <si>
    <t xml:space="preserve">27x10.50-15</t>
  </si>
  <si>
    <t xml:space="preserve">306 12PR TL</t>
  </si>
  <si>
    <t xml:space="preserve">https://kursk.bks.group/ [dopasowano 'BKT LG 306']</t>
  </si>
  <si>
    <t xml:space="preserve">250/70R15 BKT LIFTMAX LM81 (NOWOŚĆ) 153A5 TL</t>
  </si>
  <si>
    <t xml:space="preserve">250/70R15</t>
  </si>
  <si>
    <t xml:space="preserve">LIFTMAX LM81</t>
  </si>
  <si>
    <t xml:space="preserve">153A5 TL</t>
  </si>
  <si>
    <t xml:space="preserve">https://www.macromaq.com.br/pneus-bkt</t>
  </si>
  <si>
    <t xml:space="preserve">28x9-15 BKT ( ) Maglift LIP 151A5/142A5</t>
  </si>
  <si>
    <t xml:space="preserve">28x9-15</t>
  </si>
  <si>
    <t xml:space="preserve">MAGLIFT LIP</t>
  </si>
  <si>
    <t xml:space="preserve">151A5/142A5</t>
  </si>
  <si>
    <t xml:space="preserve">https://www.tyrechapchap.co.ke/product-category/forklift/</t>
  </si>
  <si>
    <t xml:space="preserve">10-16.5 BKT OPONA JUMBOTRAX HD 10PR TL</t>
  </si>
  <si>
    <t xml:space="preserve">10-16.5</t>
  </si>
  <si>
    <t xml:space="preserve">OPONA</t>
  </si>
  <si>
    <t xml:space="preserve">JUMBOTRAX HD 10PR TL</t>
  </si>
  <si>
    <t xml:space="preserve">5.00-8 BKT PT-HD 10PR TT</t>
  </si>
  <si>
    <t xml:space="preserve">5.00-8</t>
  </si>
  <si>
    <t xml:space="preserve">PT-HD</t>
  </si>
  <si>
    <t xml:space="preserve">10PR TT</t>
  </si>
  <si>
    <t xml:space="preserve">https://www.eshop-zemedelske-potreby.cz/pneu-na-vysokozdvizne-voziky-vzv-bkt-power-trax-hd-folrklift-5-00-8-10pr-tt-120-a5-set-p65551/ [dopasowano 'PT-HD (POWER TRAX HD)']</t>
  </si>
  <si>
    <t xml:space="preserve">6.00-9 BKT PT-HD 10PR TT</t>
  </si>
  <si>
    <t xml:space="preserve">6.00-9</t>
  </si>
  <si>
    <t xml:space="preserve">https://shop.bohnenkamp-benelux.com/buba-6-00-9-6-90-9-26211.html [dopasowano 'PT-HD (POWER TRAX HD)']</t>
  </si>
  <si>
    <t xml:space="preserve">7.00-12 BKT PT-HD 14PR TT</t>
  </si>
  <si>
    <t xml:space="preserve">7.00-12</t>
  </si>
  <si>
    <t xml:space="preserve">14PR TT</t>
  </si>
  <si>
    <t xml:space="preserve">https://bohnenkamp.uz/catalog/promyshlennye_industrialnye_shiny/pnevmaticheskie_shiny_dlya_skladskikh_vilochnykh_pogruzchikov/7_00_12_14pr_bkt_power_trax_hd_143a5_134a5_tr75a/ [dopasowano 'PT-HD (POWER TRAX HD)']</t>
  </si>
  <si>
    <t xml:space="preserve">200/60-14.5 BKT RIB 774 14PR TL</t>
  </si>
  <si>
    <t xml:space="preserve">200/60-14.5</t>
  </si>
  <si>
    <t xml:space="preserve">RIB</t>
  </si>
  <si>
    <t xml:space="preserve">774 14PR TL</t>
  </si>
  <si>
    <t xml:space="preserve">https://shop.bohnenkamp-baltic.com/200-60-14-5-14pr-bkt-rib-774-113a8-tl.html [dopasowano 'BKT RIB 774']</t>
  </si>
  <si>
    <t xml:space="preserve">250/65-14.5 BKT RIB 774 14PR TL</t>
  </si>
  <si>
    <t xml:space="preserve">250/65-14.5</t>
  </si>
  <si>
    <t xml:space="preserve">18x8.50-10 BKT Skid Power HD 8PR TL</t>
  </si>
  <si>
    <t xml:space="preserve">18x8.50-10</t>
  </si>
  <si>
    <t xml:space="preserve">SKID POWER</t>
  </si>
  <si>
    <t xml:space="preserve">HD 8PR TL</t>
  </si>
  <si>
    <t xml:space="preserve">https://shop.bohnenkamp.kz/tyres/18x8-50-10-18x8-5-10-8pr-bkt-skid-power-hd-82a8-imp-tl.html [dopasowano 'SKID POWER HD']</t>
  </si>
  <si>
    <t xml:space="preserve">18x8.50-8 BKT Skid Power HD 8PR TL</t>
  </si>
  <si>
    <t xml:space="preserve">18x8.50-8</t>
  </si>
  <si>
    <t xml:space="preserve">https://bigtyre.com.au/store/products/P1417/18x850-8-bkt-skid-power-hd-8-ply-tubeless-tyre [dopasowano 'SKID POWER HD']</t>
  </si>
  <si>
    <t xml:space="preserve">23x8.50-12 BKT Skid Power HD 6PR TL</t>
  </si>
  <si>
    <t xml:space="preserve">23x8.50-12</t>
  </si>
  <si>
    <t xml:space="preserve">HD 6PR TL</t>
  </si>
  <si>
    <t xml:space="preserve">https://www.allpneus.com/catalogue/pneus-agricole/bkt/pneus-industriel-genie-civil/skid-power-hd/250363 [dopasowano 'SKID POWER HD']</t>
  </si>
  <si>
    <t xml:space="preserve">25x8.50-14 BKT Skid Power HD 6PR TL</t>
  </si>
  <si>
    <t xml:space="preserve">https://shop.bohnenkamp.sk/reifen-25-x-8-5-14.html [dopasowano 'SKID POWER HD']</t>
  </si>
  <si>
    <t xml:space="preserve">26x12.00-12 BKT Skid Power HD 12PR TL</t>
  </si>
  <si>
    <t xml:space="preserve">HD 12PR TL</t>
  </si>
  <si>
    <t xml:space="preserve">http://www.tunion.ru/specshini/bkt-skid-power-hd/shina-pnevmaticheskaya-26x12-12-12pr-bkt-skid-power-hd-tl-15772052/ [dopasowano 'SKID POWER HD']</t>
  </si>
  <si>
    <t xml:space="preserve">27x10.50-15 BKT Skid Power HD 8PR TL</t>
  </si>
  <si>
    <t xml:space="preserve">https://shop.bohnenkamp.kz/tyres/27x10-50-15-27x10-5-15-8pr-bkt-skid-power-hd-120a2-105a8-imp-tl.html [dopasowano 'SKID POWER HD']</t>
  </si>
  <si>
    <t xml:space="preserve">31x15.50-15 BKT Skid Power HD 10PR TL</t>
  </si>
  <si>
    <t xml:space="preserve">31x15.50-15</t>
  </si>
  <si>
    <t xml:space="preserve">HD 10PR TL</t>
  </si>
  <si>
    <t xml:space="preserve">https://shop.bohnenkamp.uz/tyres/31x15-50-15-31x15-5-15-10pr-bkt-skid-power-hd-139a2-125a8-imp-tl.html [dopasowano 'SKID POWER HD']</t>
  </si>
  <si>
    <t xml:space="preserve">4.50-16 BKT TF 8181 4PR TT</t>
  </si>
  <si>
    <t xml:space="preserve">4.50-16</t>
  </si>
  <si>
    <t xml:space="preserve">TF 8181</t>
  </si>
  <si>
    <t xml:space="preserve">4PR TT</t>
  </si>
  <si>
    <t xml:space="preserve">https://www.kreissler24.de/4-50-16-4pr-73a6-bkt-tf-8181-reifen-mit-schlauch.html</t>
  </si>
  <si>
    <t xml:space="preserve">5.50-16 BKT TF 8181 6PR TT</t>
  </si>
  <si>
    <t xml:space="preserve">5.50-16</t>
  </si>
  <si>
    <t xml:space="preserve">https://www.kreissler24.de/5-50-16-6pr-78a8-bkt-tf-8181-tt.html</t>
  </si>
  <si>
    <t xml:space="preserve">6.00-18 BKT TF 8181 8PR TT</t>
  </si>
  <si>
    <t xml:space="preserve">6.00-18</t>
  </si>
  <si>
    <t xml:space="preserve">8PR TT</t>
  </si>
  <si>
    <t xml:space="preserve">https://www.e-agropneu.cz/pneumatiky/6-00-18-tt-bkt-tf-8181-8pr-101a694a8-k44187.htm</t>
  </si>
  <si>
    <t xml:space="preserve">6.50-16 BKT TF 8181 6PR TT</t>
  </si>
  <si>
    <t xml:space="preserve">6.50-16</t>
  </si>
  <si>
    <t xml:space="preserve">https://onlineshop.bohnenkamp.at/de/reifen-bkt-tf-8181-6-50-16-15721107</t>
  </si>
  <si>
    <t xml:space="preserve">7.50-16 BKT TF 8181 6PR TT</t>
  </si>
  <si>
    <t xml:space="preserve">https://www.kreissler24.de/7-50-16-6pr-98a6-bkt-tf-8181-tt.html</t>
  </si>
  <si>
    <t xml:space="preserve">7.50-20 BKT TF 8181 6PR TT</t>
  </si>
  <si>
    <t xml:space="preserve">7.50-20</t>
  </si>
  <si>
    <t xml:space="preserve">https://www.baywa.de/de/traktor/reifen-raeder/as-frontreifen/bkt-as-frontreifen-tf-8181-diagonal-tt/p-000000000000372772/</t>
  </si>
  <si>
    <t xml:space="preserve">180/95-14 BKT TR 126 ( ) 4PR TT</t>
  </si>
  <si>
    <t xml:space="preserve">180/95-14</t>
  </si>
  <si>
    <t xml:space="preserve">TR</t>
  </si>
  <si>
    <t xml:space="preserve">126 4PR TT</t>
  </si>
  <si>
    <t xml:space="preserve">https://www.allpneus.com/catalogue/pneus-agricole/bkt/pneus-de-motoculture/tr-126/251020 [dopasowano 'BKT TR 126']</t>
  </si>
  <si>
    <t xml:space="preserve">320/60-12 BKT TR 678 132A8 TT</t>
  </si>
  <si>
    <t xml:space="preserve">320/60-12</t>
  </si>
  <si>
    <t xml:space="preserve">678 132A8 TT</t>
  </si>
  <si>
    <t xml:space="preserve">https://onlineshop.bohnenkamp-suisse.ch/de/reifen-bkt-tr-678-320-60-12-10000957 [dopasowano 'BKT TR 678']</t>
  </si>
  <si>
    <t xml:space="preserve">23x8.50-12 BKT TR 315 6PR TL</t>
  </si>
  <si>
    <t xml:space="preserve">TR 315</t>
  </si>
  <si>
    <t xml:space="preserve">6PR TL</t>
  </si>
  <si>
    <t xml:space="preserve">https://www.pneukomplet.cz/23x8-50-12-89a6-6pr-tr-315-tl-bkt/</t>
  </si>
  <si>
    <t xml:space="preserve">26x12.00-12 BKT TR 315 12PR TL</t>
  </si>
  <si>
    <t xml:space="preserve">https://onlineshop.bohnenkamp-suisse.ch/de/reifen-bkt-tr-315-26-x-12-00-12-15710520</t>
  </si>
  <si>
    <t xml:space="preserve">31x15.50-15 BKT TR 315 10PR TL</t>
  </si>
  <si>
    <t xml:space="preserve">10PR TL</t>
  </si>
  <si>
    <t xml:space="preserve">https://onlineshop.bohnenkamp.at/de/reifen-bkt-tr-315-31-x-15-50-15-15710550</t>
  </si>
  <si>
    <t xml:space="preserve">13.0/65-18 BKT V-Line AW 702 16PR TL</t>
  </si>
  <si>
    <t xml:space="preserve">13.0/65-18</t>
  </si>
  <si>
    <t xml:space="preserve">V-LINE</t>
  </si>
  <si>
    <t xml:space="preserve">AW 702 16PR TL</t>
  </si>
  <si>
    <t xml:space="preserve">https://agriest.fr/pneu-13-0-65-18-16pr-aw702-e-tlbkt--441498 [dopasowano 'BKT V-LINE (AW 702)']</t>
  </si>
  <si>
    <t xml:space="preserve">Wypełnione</t>
  </si>
  <si>
    <t xml:space="preserve">Wszystkie</t>
  </si>
  <si>
    <t xml:space="preserve">% pokrycia</t>
  </si>
  <si>
    <t xml:space="preserve">RAZEM</t>
  </si>
  <si>
    <t xml:space="preserve">Bkt - wagi opon</t>
  </si>
  <si>
    <t xml:space="preserve">Data przygotowania: 2026-07-14</t>
  </si>
  <si>
    <t xml:space="preserve">Liczba pozycji: 92</t>
  </si>
  <si>
    <t xml:space="preserve">Wypełnione wagi: 83 (90.2%)</t>
  </si>
  <si>
    <t xml:space="preserve">Braki: 9</t>
  </si>
  <si>
    <t xml:space="preserve">Metodologia:</t>
  </si>
  <si>
    <t xml:space="preserve">- Klasyfikacja 92 pozycji Bkt na 30 serii</t>
  </si>
  <si>
    <t xml:space="preserve">- Zbieranie wag przez subagentów - priorytet oficjalnych PDF i dystrybutorów</t>
  </si>
  <si>
    <t xml:space="preserve">- Weryfikacja: waga = MASA opony (Net weight/Nettogewicht), nie nośność</t>
  </si>
  <si>
    <t xml:space="preserve">- Konwersja funtów: kg = lbs / 2.20462</t>
  </si>
  <si>
    <t xml:space="preserve">Źródła:</t>
  </si>
  <si>
    <t xml:space="preserve">1. Oficjalne PDF BKT Tires (bkt-tires.com)</t>
  </si>
  <si>
    <t xml:space="preserve">2. bohnenkamp.de / .at / .ch / .pl</t>
  </si>
  <si>
    <t xml:space="preserve">3. heuver.com</t>
  </si>
  <si>
    <t xml:space="preserve">4. schlepper-reifen.com, kreissler24.de</t>
  </si>
  <si>
    <t xml:space="preserve">Pokrycie per grupa:</t>
  </si>
  <si>
    <t xml:space="preserve">- rolnicze (Agrimax/AGRIBIB)</t>
  </si>
  <si>
    <t xml:space="preserve">- przemysłowe/OTR (BKT Multimax/Emperor/Tractor Master)</t>
  </si>
  <si>
    <t xml:space="preserve">Uwagi:</t>
  </si>
  <si>
    <t xml:space="preserve">- BKT publikuje wagi w oficjalnych Data Book PDF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</si>
</sst>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BE9E7"/>
        <bgColor rgb="FFF1F8E9"/>
      </patternFill>
    </fill>
    <fill>
      <patternFill patternType="solid">
        <fgColor rgb="FFF1F8E9"/>
        <bgColor rgb="FFE0F2F1"/>
      </patternFill>
    </fill>
    <fill>
      <patternFill patternType="solid">
        <fgColor rgb="FFE0F2F1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0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5" hidden="false" customHeight="false" outlineLevel="0" collapsed="false">
      <c r="B3" s="2" t="n">
        <v>1</v>
      </c>
      <c r="C3" s="3" t="s">
        <v>7</v>
      </c>
      <c r="D3" s="2" t="s">
        <v>8</v>
      </c>
      <c r="E3" s="3" t="s">
        <v>9</v>
      </c>
      <c r="F3" s="3" t="s">
        <v>10</v>
      </c>
      <c r="G3" s="4"/>
      <c r="H3" s="3"/>
    </row>
    <row r="4" customFormat="false" ht="15" hidden="false" customHeight="false" outlineLevel="0" collapsed="false">
      <c r="B4" s="2" t="n">
        <v>2</v>
      </c>
      <c r="C4" s="3" t="s">
        <v>11</v>
      </c>
      <c r="D4" s="2" t="s">
        <v>12</v>
      </c>
      <c r="E4" s="3" t="s">
        <v>9</v>
      </c>
      <c r="F4" s="3" t="s">
        <v>13</v>
      </c>
      <c r="G4" s="4"/>
      <c r="H4" s="3"/>
    </row>
    <row r="5" customFormat="false" ht="15" hidden="false" customHeight="false" outlineLevel="0" collapsed="false">
      <c r="B5" s="5" t="n">
        <v>3</v>
      </c>
      <c r="C5" s="6" t="s">
        <v>14</v>
      </c>
      <c r="D5" s="5" t="s">
        <v>15</v>
      </c>
      <c r="E5" s="6" t="s">
        <v>16</v>
      </c>
      <c r="F5" s="6" t="s">
        <v>17</v>
      </c>
      <c r="G5" s="7" t="n">
        <v>68</v>
      </c>
      <c r="H5" s="6" t="s">
        <v>18</v>
      </c>
    </row>
    <row r="6" customFormat="false" ht="15" hidden="false" customHeight="false" outlineLevel="0" collapsed="false">
      <c r="B6" s="5" t="n">
        <v>4</v>
      </c>
      <c r="C6" s="6" t="s">
        <v>19</v>
      </c>
      <c r="D6" s="5" t="s">
        <v>20</v>
      </c>
      <c r="E6" s="6" t="s">
        <v>21</v>
      </c>
      <c r="F6" s="6" t="s">
        <v>22</v>
      </c>
      <c r="G6" s="7" t="n">
        <v>48</v>
      </c>
      <c r="H6" s="6" t="s">
        <v>23</v>
      </c>
    </row>
    <row r="7" customFormat="false" ht="15" hidden="false" customHeight="false" outlineLevel="0" collapsed="false">
      <c r="B7" s="5" t="n">
        <v>5</v>
      </c>
      <c r="C7" s="6" t="s">
        <v>24</v>
      </c>
      <c r="D7" s="5" t="s">
        <v>25</v>
      </c>
      <c r="E7" s="6" t="s">
        <v>21</v>
      </c>
      <c r="F7" s="6" t="s">
        <v>26</v>
      </c>
      <c r="G7" s="7" t="n">
        <v>52.48</v>
      </c>
      <c r="H7" s="6" t="s">
        <v>27</v>
      </c>
    </row>
    <row r="8" customFormat="false" ht="15" hidden="false" customHeight="false" outlineLevel="0" collapsed="false">
      <c r="B8" s="5" t="n">
        <v>6</v>
      </c>
      <c r="C8" s="6" t="s">
        <v>28</v>
      </c>
      <c r="D8" s="5" t="s">
        <v>29</v>
      </c>
      <c r="E8" s="6" t="s">
        <v>21</v>
      </c>
      <c r="F8" s="6" t="s">
        <v>30</v>
      </c>
      <c r="G8" s="7" t="n">
        <v>65.49</v>
      </c>
      <c r="H8" s="6" t="s">
        <v>31</v>
      </c>
    </row>
    <row r="9" customFormat="false" ht="15" hidden="false" customHeight="false" outlineLevel="0" collapsed="false">
      <c r="B9" s="5" t="n">
        <v>7</v>
      </c>
      <c r="C9" s="6" t="s">
        <v>32</v>
      </c>
      <c r="D9" s="5" t="s">
        <v>33</v>
      </c>
      <c r="E9" s="6" t="s">
        <v>21</v>
      </c>
      <c r="F9" s="6" t="s">
        <v>34</v>
      </c>
      <c r="G9" s="7" t="n">
        <v>105.05</v>
      </c>
      <c r="H9" s="6" t="s">
        <v>35</v>
      </c>
    </row>
    <row r="10" customFormat="false" ht="15" hidden="false" customHeight="false" outlineLevel="0" collapsed="false">
      <c r="B10" s="5" t="n">
        <v>8</v>
      </c>
      <c r="C10" s="6" t="s">
        <v>36</v>
      </c>
      <c r="D10" s="5" t="s">
        <v>37</v>
      </c>
      <c r="E10" s="6" t="s">
        <v>21</v>
      </c>
      <c r="F10" s="6" t="s">
        <v>38</v>
      </c>
      <c r="G10" s="7" t="n">
        <v>109.45</v>
      </c>
      <c r="H10" s="6" t="s">
        <v>39</v>
      </c>
    </row>
    <row r="11" customFormat="false" ht="15" hidden="false" customHeight="false" outlineLevel="0" collapsed="false">
      <c r="B11" s="5" t="n">
        <v>9</v>
      </c>
      <c r="C11" s="6" t="s">
        <v>40</v>
      </c>
      <c r="D11" s="5" t="s">
        <v>41</v>
      </c>
      <c r="E11" s="6" t="s">
        <v>21</v>
      </c>
      <c r="F11" s="6" t="s">
        <v>42</v>
      </c>
      <c r="G11" s="7" t="n">
        <v>250</v>
      </c>
      <c r="H11" s="6" t="s">
        <v>43</v>
      </c>
    </row>
    <row r="12" customFormat="false" ht="15" hidden="false" customHeight="false" outlineLevel="0" collapsed="false">
      <c r="B12" s="5" t="n">
        <v>10</v>
      </c>
      <c r="C12" s="6" t="s">
        <v>44</v>
      </c>
      <c r="D12" s="5" t="s">
        <v>45</v>
      </c>
      <c r="E12" s="6" t="s">
        <v>21</v>
      </c>
      <c r="F12" s="6" t="s">
        <v>46</v>
      </c>
      <c r="G12" s="7" t="n">
        <v>322</v>
      </c>
      <c r="H12" s="6" t="s">
        <v>47</v>
      </c>
    </row>
    <row r="13" customFormat="false" ht="15" hidden="false" customHeight="false" outlineLevel="0" collapsed="false">
      <c r="B13" s="5" t="n">
        <v>11</v>
      </c>
      <c r="C13" s="6" t="s">
        <v>48</v>
      </c>
      <c r="D13" s="5" t="s">
        <v>49</v>
      </c>
      <c r="E13" s="6" t="s">
        <v>50</v>
      </c>
      <c r="F13" s="6" t="s">
        <v>51</v>
      </c>
      <c r="G13" s="7" t="n">
        <v>23.69</v>
      </c>
      <c r="H13" s="6" t="s">
        <v>52</v>
      </c>
    </row>
    <row r="14" customFormat="false" ht="15" hidden="false" customHeight="false" outlineLevel="0" collapsed="false">
      <c r="B14" s="5" t="n">
        <v>12</v>
      </c>
      <c r="C14" s="6" t="s">
        <v>53</v>
      </c>
      <c r="D14" s="5" t="s">
        <v>49</v>
      </c>
      <c r="E14" s="6" t="s">
        <v>50</v>
      </c>
      <c r="F14" s="6" t="s">
        <v>54</v>
      </c>
      <c r="G14" s="7" t="n">
        <v>23.69</v>
      </c>
      <c r="H14" s="6" t="s">
        <v>52</v>
      </c>
    </row>
    <row r="15" customFormat="false" ht="15" hidden="false" customHeight="false" outlineLevel="0" collapsed="false">
      <c r="B15" s="5" t="n">
        <v>13</v>
      </c>
      <c r="C15" s="6" t="s">
        <v>55</v>
      </c>
      <c r="D15" s="5" t="s">
        <v>56</v>
      </c>
      <c r="E15" s="6" t="s">
        <v>50</v>
      </c>
      <c r="F15" s="6" t="s">
        <v>57</v>
      </c>
      <c r="G15" s="7" t="n">
        <v>34.43</v>
      </c>
      <c r="H15" s="6" t="s">
        <v>58</v>
      </c>
    </row>
    <row r="16" customFormat="false" ht="15" hidden="false" customHeight="false" outlineLevel="0" collapsed="false">
      <c r="B16" s="5" t="n">
        <v>14</v>
      </c>
      <c r="C16" s="6" t="s">
        <v>59</v>
      </c>
      <c r="D16" s="5" t="s">
        <v>60</v>
      </c>
      <c r="E16" s="6" t="s">
        <v>50</v>
      </c>
      <c r="F16" s="6" t="s">
        <v>61</v>
      </c>
      <c r="G16" s="7" t="n">
        <v>54</v>
      </c>
      <c r="H16" s="6" t="s">
        <v>62</v>
      </c>
    </row>
    <row r="17" customFormat="false" ht="15" hidden="false" customHeight="false" outlineLevel="0" collapsed="false">
      <c r="B17" s="5" t="n">
        <v>15</v>
      </c>
      <c r="C17" s="6" t="s">
        <v>63</v>
      </c>
      <c r="D17" s="5" t="s">
        <v>64</v>
      </c>
      <c r="E17" s="6" t="s">
        <v>50</v>
      </c>
      <c r="F17" s="6" t="s">
        <v>65</v>
      </c>
      <c r="G17" s="7" t="n">
        <v>76</v>
      </c>
      <c r="H17" s="6" t="s">
        <v>66</v>
      </c>
    </row>
    <row r="18" customFormat="false" ht="15" hidden="false" customHeight="false" outlineLevel="0" collapsed="false">
      <c r="B18" s="5" t="n">
        <v>16</v>
      </c>
      <c r="C18" s="6" t="s">
        <v>67</v>
      </c>
      <c r="D18" s="5" t="s">
        <v>68</v>
      </c>
      <c r="E18" s="6" t="s">
        <v>50</v>
      </c>
      <c r="F18" s="6" t="s">
        <v>69</v>
      </c>
      <c r="G18" s="7" t="n">
        <v>89.81</v>
      </c>
      <c r="H18" s="6" t="s">
        <v>70</v>
      </c>
    </row>
    <row r="19" customFormat="false" ht="15" hidden="false" customHeight="false" outlineLevel="0" collapsed="false">
      <c r="B19" s="5" t="n">
        <v>17</v>
      </c>
      <c r="C19" s="6" t="s">
        <v>71</v>
      </c>
      <c r="D19" s="5" t="s">
        <v>72</v>
      </c>
      <c r="E19" s="6" t="s">
        <v>50</v>
      </c>
      <c r="F19" s="6" t="s">
        <v>73</v>
      </c>
      <c r="G19" s="7" t="n">
        <v>111</v>
      </c>
      <c r="H19" s="6" t="s">
        <v>74</v>
      </c>
    </row>
    <row r="20" customFormat="false" ht="15" hidden="false" customHeight="false" outlineLevel="0" collapsed="false">
      <c r="B20" s="5" t="n">
        <v>18</v>
      </c>
      <c r="C20" s="6" t="s">
        <v>75</v>
      </c>
      <c r="D20" s="5" t="s">
        <v>76</v>
      </c>
      <c r="E20" s="6" t="s">
        <v>50</v>
      </c>
      <c r="F20" s="6" t="s">
        <v>77</v>
      </c>
      <c r="G20" s="7" t="n">
        <v>107.17</v>
      </c>
      <c r="H20" s="6" t="s">
        <v>78</v>
      </c>
    </row>
    <row r="21" customFormat="false" ht="15" hidden="false" customHeight="false" outlineLevel="0" collapsed="false">
      <c r="B21" s="5" t="n">
        <v>19</v>
      </c>
      <c r="C21" s="6" t="s">
        <v>79</v>
      </c>
      <c r="D21" s="5" t="s">
        <v>80</v>
      </c>
      <c r="E21" s="6" t="s">
        <v>50</v>
      </c>
      <c r="F21" s="6" t="s">
        <v>81</v>
      </c>
      <c r="G21" s="7" t="n">
        <v>225.8</v>
      </c>
      <c r="H21" s="6" t="s">
        <v>82</v>
      </c>
    </row>
    <row r="22" customFormat="false" ht="15" hidden="false" customHeight="false" outlineLevel="0" collapsed="false">
      <c r="B22" s="5" t="n">
        <v>20</v>
      </c>
      <c r="C22" s="6" t="s">
        <v>83</v>
      </c>
      <c r="D22" s="5" t="s">
        <v>84</v>
      </c>
      <c r="E22" s="6" t="s">
        <v>50</v>
      </c>
      <c r="F22" s="6" t="s">
        <v>85</v>
      </c>
      <c r="G22" s="7" t="n">
        <v>261.06</v>
      </c>
      <c r="H22" s="6" t="s">
        <v>86</v>
      </c>
    </row>
    <row r="23" customFormat="false" ht="15" hidden="false" customHeight="false" outlineLevel="0" collapsed="false">
      <c r="B23" s="5" t="n">
        <v>21</v>
      </c>
      <c r="C23" s="6" t="s">
        <v>87</v>
      </c>
      <c r="D23" s="5" t="s">
        <v>88</v>
      </c>
      <c r="E23" s="6" t="s">
        <v>89</v>
      </c>
      <c r="F23" s="6" t="s">
        <v>73</v>
      </c>
      <c r="G23" s="7" t="n">
        <v>98.27</v>
      </c>
      <c r="H23" s="6" t="s">
        <v>90</v>
      </c>
    </row>
    <row r="24" customFormat="false" ht="15" hidden="false" customHeight="false" outlineLevel="0" collapsed="false">
      <c r="B24" s="5" t="n">
        <v>22</v>
      </c>
      <c r="C24" s="6" t="s">
        <v>91</v>
      </c>
      <c r="D24" s="5" t="s">
        <v>92</v>
      </c>
      <c r="E24" s="6" t="s">
        <v>89</v>
      </c>
      <c r="F24" s="6" t="s">
        <v>93</v>
      </c>
      <c r="G24" s="7" t="n">
        <v>108.68</v>
      </c>
      <c r="H24" s="6" t="s">
        <v>94</v>
      </c>
    </row>
    <row r="25" customFormat="false" ht="15" hidden="false" customHeight="false" outlineLevel="0" collapsed="false">
      <c r="B25" s="5" t="n">
        <v>23</v>
      </c>
      <c r="C25" s="6" t="s">
        <v>95</v>
      </c>
      <c r="D25" s="5" t="s">
        <v>96</v>
      </c>
      <c r="E25" s="6" t="s">
        <v>89</v>
      </c>
      <c r="F25" s="6" t="s">
        <v>97</v>
      </c>
      <c r="G25" s="7" t="n">
        <v>123.65</v>
      </c>
      <c r="H25" s="6" t="s">
        <v>98</v>
      </c>
    </row>
    <row r="26" customFormat="false" ht="15" hidden="false" customHeight="false" outlineLevel="0" collapsed="false">
      <c r="B26" s="2" t="n">
        <v>24</v>
      </c>
      <c r="C26" s="3" t="s">
        <v>99</v>
      </c>
      <c r="D26" s="2" t="s">
        <v>100</v>
      </c>
      <c r="E26" s="3" t="s">
        <v>89</v>
      </c>
      <c r="F26" s="3" t="s">
        <v>101</v>
      </c>
      <c r="G26" s="4"/>
      <c r="H26" s="3"/>
    </row>
    <row r="27" customFormat="false" ht="15" hidden="false" customHeight="false" outlineLevel="0" collapsed="false">
      <c r="B27" s="2" t="n">
        <v>25</v>
      </c>
      <c r="C27" s="3" t="s">
        <v>102</v>
      </c>
      <c r="D27" s="2" t="s">
        <v>103</v>
      </c>
      <c r="E27" s="3" t="s">
        <v>104</v>
      </c>
      <c r="F27" s="3" t="s">
        <v>105</v>
      </c>
      <c r="G27" s="4"/>
      <c r="H27" s="3"/>
    </row>
    <row r="28" customFormat="false" ht="15" hidden="false" customHeight="false" outlineLevel="0" collapsed="false">
      <c r="B28" s="5" t="n">
        <v>26</v>
      </c>
      <c r="C28" s="6" t="s">
        <v>106</v>
      </c>
      <c r="D28" s="5" t="s">
        <v>107</v>
      </c>
      <c r="E28" s="6" t="s">
        <v>104</v>
      </c>
      <c r="F28" s="6" t="s">
        <v>108</v>
      </c>
      <c r="G28" s="7" t="n">
        <v>56.93</v>
      </c>
      <c r="H28" s="6" t="s">
        <v>109</v>
      </c>
    </row>
    <row r="29" customFormat="false" ht="15" hidden="false" customHeight="false" outlineLevel="0" collapsed="false">
      <c r="B29" s="5" t="n">
        <v>27</v>
      </c>
      <c r="C29" s="6" t="s">
        <v>110</v>
      </c>
      <c r="D29" s="5" t="s">
        <v>111</v>
      </c>
      <c r="E29" s="6" t="s">
        <v>104</v>
      </c>
      <c r="F29" s="6" t="s">
        <v>77</v>
      </c>
      <c r="G29" s="7" t="n">
        <v>64</v>
      </c>
      <c r="H29" s="6" t="s">
        <v>112</v>
      </c>
    </row>
    <row r="30" customFormat="false" ht="15" hidden="false" customHeight="false" outlineLevel="0" collapsed="false">
      <c r="B30" s="5" t="n">
        <v>28</v>
      </c>
      <c r="C30" s="6" t="s">
        <v>113</v>
      </c>
      <c r="D30" s="5" t="s">
        <v>114</v>
      </c>
      <c r="E30" s="6" t="s">
        <v>104</v>
      </c>
      <c r="F30" s="6" t="s">
        <v>115</v>
      </c>
      <c r="G30" s="7" t="n">
        <v>77.58</v>
      </c>
      <c r="H30" s="6" t="s">
        <v>116</v>
      </c>
    </row>
    <row r="31" customFormat="false" ht="15" hidden="false" customHeight="false" outlineLevel="0" collapsed="false">
      <c r="B31" s="5" t="n">
        <v>29</v>
      </c>
      <c r="C31" s="6" t="s">
        <v>117</v>
      </c>
      <c r="D31" s="5" t="s">
        <v>118</v>
      </c>
      <c r="E31" s="6" t="s">
        <v>104</v>
      </c>
      <c r="F31" s="6" t="s">
        <v>119</v>
      </c>
      <c r="G31" s="7" t="n">
        <v>72.77</v>
      </c>
      <c r="H31" s="6" t="s">
        <v>120</v>
      </c>
    </row>
    <row r="32" customFormat="false" ht="15" hidden="false" customHeight="false" outlineLevel="0" collapsed="false">
      <c r="B32" s="5" t="n">
        <v>30</v>
      </c>
      <c r="C32" s="6" t="s">
        <v>121</v>
      </c>
      <c r="D32" s="5" t="s">
        <v>122</v>
      </c>
      <c r="E32" s="6" t="s">
        <v>104</v>
      </c>
      <c r="F32" s="6" t="s">
        <v>123</v>
      </c>
      <c r="G32" s="7" t="n">
        <v>84.11</v>
      </c>
      <c r="H32" s="6" t="s">
        <v>124</v>
      </c>
    </row>
    <row r="33" customFormat="false" ht="15" hidden="false" customHeight="false" outlineLevel="0" collapsed="false">
      <c r="B33" s="5" t="n">
        <v>31</v>
      </c>
      <c r="C33" s="6" t="s">
        <v>125</v>
      </c>
      <c r="D33" s="5" t="s">
        <v>126</v>
      </c>
      <c r="E33" s="6" t="s">
        <v>104</v>
      </c>
      <c r="F33" s="6" t="s">
        <v>127</v>
      </c>
      <c r="G33" s="7" t="n">
        <v>95.8</v>
      </c>
      <c r="H33" s="6" t="s">
        <v>128</v>
      </c>
    </row>
    <row r="34" customFormat="false" ht="15" hidden="false" customHeight="false" outlineLevel="0" collapsed="false">
      <c r="B34" s="2" t="n">
        <v>32</v>
      </c>
      <c r="C34" s="3" t="s">
        <v>129</v>
      </c>
      <c r="D34" s="2" t="s">
        <v>130</v>
      </c>
      <c r="E34" s="3" t="s">
        <v>104</v>
      </c>
      <c r="F34" s="3" t="s">
        <v>131</v>
      </c>
      <c r="G34" s="4"/>
      <c r="H34" s="3"/>
    </row>
    <row r="35" customFormat="false" ht="15" hidden="false" customHeight="false" outlineLevel="0" collapsed="false">
      <c r="B35" s="5" t="n">
        <v>33</v>
      </c>
      <c r="C35" s="6" t="s">
        <v>132</v>
      </c>
      <c r="D35" s="5" t="s">
        <v>133</v>
      </c>
      <c r="E35" s="6" t="s">
        <v>134</v>
      </c>
      <c r="F35" s="6" t="s">
        <v>135</v>
      </c>
      <c r="G35" s="7" t="n">
        <v>234.96</v>
      </c>
      <c r="H35" s="6" t="s">
        <v>136</v>
      </c>
    </row>
    <row r="36" customFormat="false" ht="15" hidden="false" customHeight="false" outlineLevel="0" collapsed="false">
      <c r="B36" s="5" t="n">
        <v>34</v>
      </c>
      <c r="C36" s="6" t="s">
        <v>137</v>
      </c>
      <c r="D36" s="5" t="s">
        <v>138</v>
      </c>
      <c r="E36" s="6" t="s">
        <v>139</v>
      </c>
      <c r="F36" s="6" t="s">
        <v>140</v>
      </c>
      <c r="G36" s="7" t="n">
        <v>9.81</v>
      </c>
      <c r="H36" s="6" t="s">
        <v>141</v>
      </c>
    </row>
    <row r="37" customFormat="false" ht="15" hidden="false" customHeight="false" outlineLevel="0" collapsed="false">
      <c r="B37" s="5" t="n">
        <v>35</v>
      </c>
      <c r="C37" s="6" t="s">
        <v>142</v>
      </c>
      <c r="D37" s="5" t="s">
        <v>143</v>
      </c>
      <c r="E37" s="6" t="s">
        <v>139</v>
      </c>
      <c r="F37" s="6" t="s">
        <v>144</v>
      </c>
      <c r="G37" s="7" t="n">
        <v>77.24</v>
      </c>
      <c r="H37" s="6" t="s">
        <v>145</v>
      </c>
    </row>
    <row r="38" customFormat="false" ht="15" hidden="false" customHeight="false" outlineLevel="0" collapsed="false">
      <c r="B38" s="5" t="n">
        <v>36</v>
      </c>
      <c r="C38" s="6" t="s">
        <v>146</v>
      </c>
      <c r="D38" s="5" t="s">
        <v>147</v>
      </c>
      <c r="E38" s="6" t="s">
        <v>148</v>
      </c>
      <c r="F38" s="6" t="s">
        <v>149</v>
      </c>
      <c r="G38" s="7" t="n">
        <v>34.34</v>
      </c>
      <c r="H38" s="6" t="s">
        <v>150</v>
      </c>
    </row>
    <row r="39" customFormat="false" ht="15" hidden="false" customHeight="false" outlineLevel="0" collapsed="false">
      <c r="B39" s="5" t="n">
        <v>37</v>
      </c>
      <c r="C39" s="6" t="s">
        <v>151</v>
      </c>
      <c r="D39" s="5" t="s">
        <v>152</v>
      </c>
      <c r="E39" s="6" t="s">
        <v>148</v>
      </c>
      <c r="F39" s="6" t="s">
        <v>153</v>
      </c>
      <c r="G39" s="7" t="n">
        <v>74.52</v>
      </c>
      <c r="H39" s="6" t="s">
        <v>154</v>
      </c>
    </row>
    <row r="40" customFormat="false" ht="15" hidden="false" customHeight="false" outlineLevel="0" collapsed="false">
      <c r="B40" s="5" t="n">
        <v>38</v>
      </c>
      <c r="C40" s="6" t="s">
        <v>155</v>
      </c>
      <c r="D40" s="5" t="s">
        <v>156</v>
      </c>
      <c r="E40" s="6" t="s">
        <v>148</v>
      </c>
      <c r="F40" s="6" t="s">
        <v>149</v>
      </c>
      <c r="G40" s="7" t="n">
        <v>63.43</v>
      </c>
      <c r="H40" s="6" t="s">
        <v>157</v>
      </c>
    </row>
    <row r="41" customFormat="false" ht="15" hidden="false" customHeight="false" outlineLevel="0" collapsed="false">
      <c r="B41" s="5" t="n">
        <v>39</v>
      </c>
      <c r="C41" s="6" t="s">
        <v>158</v>
      </c>
      <c r="D41" s="5" t="s">
        <v>159</v>
      </c>
      <c r="E41" s="6" t="s">
        <v>148</v>
      </c>
      <c r="F41" s="6" t="s">
        <v>160</v>
      </c>
      <c r="G41" s="7" t="n">
        <v>6.96</v>
      </c>
      <c r="H41" s="6" t="s">
        <v>161</v>
      </c>
    </row>
    <row r="42" customFormat="false" ht="15" hidden="false" customHeight="false" outlineLevel="0" collapsed="false">
      <c r="B42" s="5" t="n">
        <v>40</v>
      </c>
      <c r="C42" s="6" t="s">
        <v>162</v>
      </c>
      <c r="D42" s="5" t="s">
        <v>163</v>
      </c>
      <c r="E42" s="6" t="s">
        <v>148</v>
      </c>
      <c r="F42" s="6" t="s">
        <v>160</v>
      </c>
      <c r="G42" s="7" t="n">
        <v>9.33</v>
      </c>
      <c r="H42" s="6" t="s">
        <v>164</v>
      </c>
    </row>
    <row r="43" customFormat="false" ht="15" hidden="false" customHeight="false" outlineLevel="0" collapsed="false">
      <c r="B43" s="5" t="n">
        <v>41</v>
      </c>
      <c r="C43" s="6" t="s">
        <v>165</v>
      </c>
      <c r="D43" s="5" t="s">
        <v>166</v>
      </c>
      <c r="E43" s="6" t="s">
        <v>148</v>
      </c>
      <c r="F43" s="6" t="s">
        <v>167</v>
      </c>
      <c r="G43" s="7" t="n">
        <v>14.45</v>
      </c>
      <c r="H43" s="6" t="s">
        <v>168</v>
      </c>
    </row>
    <row r="44" customFormat="false" ht="15" hidden="false" customHeight="false" outlineLevel="0" collapsed="false">
      <c r="B44" s="5" t="n">
        <v>42</v>
      </c>
      <c r="C44" s="6" t="s">
        <v>169</v>
      </c>
      <c r="D44" s="5" t="s">
        <v>170</v>
      </c>
      <c r="E44" s="6" t="s">
        <v>171</v>
      </c>
      <c r="F44" s="6" t="s">
        <v>172</v>
      </c>
      <c r="G44" s="7" t="n">
        <v>41.99</v>
      </c>
      <c r="H44" s="6" t="s">
        <v>173</v>
      </c>
    </row>
    <row r="45" customFormat="false" ht="15" hidden="false" customHeight="false" outlineLevel="0" collapsed="false">
      <c r="B45" s="5" t="n">
        <v>43</v>
      </c>
      <c r="C45" s="6" t="s">
        <v>174</v>
      </c>
      <c r="D45" s="5" t="s">
        <v>175</v>
      </c>
      <c r="E45" s="6" t="s">
        <v>176</v>
      </c>
      <c r="F45" s="6" t="s">
        <v>177</v>
      </c>
      <c r="G45" s="7" t="n">
        <v>45.06</v>
      </c>
      <c r="H45" s="6" t="s">
        <v>178</v>
      </c>
    </row>
    <row r="46" customFormat="false" ht="15" hidden="false" customHeight="false" outlineLevel="0" collapsed="false">
      <c r="B46" s="5" t="n">
        <v>44</v>
      </c>
      <c r="C46" s="6" t="s">
        <v>179</v>
      </c>
      <c r="D46" s="5" t="s">
        <v>180</v>
      </c>
      <c r="E46" s="6" t="s">
        <v>181</v>
      </c>
      <c r="F46" s="6" t="s">
        <v>182</v>
      </c>
      <c r="G46" s="7" t="n">
        <v>14.5</v>
      </c>
      <c r="H46" s="6" t="s">
        <v>183</v>
      </c>
    </row>
    <row r="47" customFormat="false" ht="15" hidden="false" customHeight="false" outlineLevel="0" collapsed="false">
      <c r="B47" s="5" t="n">
        <v>45</v>
      </c>
      <c r="C47" s="6" t="s">
        <v>184</v>
      </c>
      <c r="D47" s="5" t="s">
        <v>185</v>
      </c>
      <c r="E47" s="6" t="s">
        <v>181</v>
      </c>
      <c r="F47" s="6" t="s">
        <v>186</v>
      </c>
      <c r="G47" s="7" t="n">
        <v>13</v>
      </c>
      <c r="H47" s="6" t="s">
        <v>187</v>
      </c>
    </row>
    <row r="48" customFormat="false" ht="15" hidden="false" customHeight="false" outlineLevel="0" collapsed="false">
      <c r="B48" s="5" t="n">
        <v>46</v>
      </c>
      <c r="C48" s="6" t="s">
        <v>188</v>
      </c>
      <c r="D48" s="5" t="s">
        <v>189</v>
      </c>
      <c r="E48" s="6" t="s">
        <v>181</v>
      </c>
      <c r="F48" s="6" t="s">
        <v>190</v>
      </c>
      <c r="G48" s="7" t="n">
        <v>21.55</v>
      </c>
      <c r="H48" s="6" t="s">
        <v>191</v>
      </c>
    </row>
    <row r="49" customFormat="false" ht="15" hidden="false" customHeight="false" outlineLevel="0" collapsed="false">
      <c r="B49" s="5" t="n">
        <v>47</v>
      </c>
      <c r="C49" s="6" t="s">
        <v>192</v>
      </c>
      <c r="D49" s="5" t="s">
        <v>193</v>
      </c>
      <c r="E49" s="6" t="s">
        <v>181</v>
      </c>
      <c r="F49" s="6" t="s">
        <v>194</v>
      </c>
      <c r="G49" s="7" t="n">
        <v>23.37</v>
      </c>
      <c r="H49" s="6" t="s">
        <v>195</v>
      </c>
    </row>
    <row r="50" customFormat="false" ht="15" hidden="false" customHeight="false" outlineLevel="0" collapsed="false">
      <c r="B50" s="5" t="n">
        <v>48</v>
      </c>
      <c r="C50" s="6" t="s">
        <v>196</v>
      </c>
      <c r="D50" s="5" t="s">
        <v>147</v>
      </c>
      <c r="E50" s="6" t="s">
        <v>181</v>
      </c>
      <c r="F50" s="6" t="s">
        <v>182</v>
      </c>
      <c r="G50" s="7" t="n">
        <v>29.82</v>
      </c>
      <c r="H50" s="6" t="s">
        <v>197</v>
      </c>
    </row>
    <row r="51" customFormat="false" ht="15" hidden="false" customHeight="false" outlineLevel="0" collapsed="false">
      <c r="B51" s="5" t="n">
        <v>49</v>
      </c>
      <c r="C51" s="6" t="s">
        <v>198</v>
      </c>
      <c r="D51" s="5" t="s">
        <v>199</v>
      </c>
      <c r="E51" s="6" t="s">
        <v>200</v>
      </c>
      <c r="F51" s="6" t="s">
        <v>153</v>
      </c>
      <c r="G51" s="7" t="n">
        <v>48</v>
      </c>
      <c r="H51" s="6" t="s">
        <v>201</v>
      </c>
    </row>
    <row r="52" customFormat="false" ht="15" hidden="false" customHeight="false" outlineLevel="0" collapsed="false">
      <c r="B52" s="5" t="n">
        <v>50</v>
      </c>
      <c r="C52" s="6" t="s">
        <v>202</v>
      </c>
      <c r="D52" s="5" t="s">
        <v>203</v>
      </c>
      <c r="E52" s="6" t="s">
        <v>204</v>
      </c>
      <c r="F52" s="6" t="s">
        <v>205</v>
      </c>
      <c r="G52" s="7" t="n">
        <v>44.96</v>
      </c>
      <c r="H52" s="6" t="s">
        <v>206</v>
      </c>
    </row>
    <row r="53" customFormat="false" ht="15" hidden="false" customHeight="false" outlineLevel="0" collapsed="false">
      <c r="B53" s="5" t="n">
        <v>51</v>
      </c>
      <c r="C53" s="6" t="s">
        <v>207</v>
      </c>
      <c r="D53" s="5" t="s">
        <v>208</v>
      </c>
      <c r="E53" s="6" t="s">
        <v>209</v>
      </c>
      <c r="F53" s="6" t="s">
        <v>210</v>
      </c>
      <c r="G53" s="7" t="n">
        <v>52</v>
      </c>
      <c r="H53" s="6" t="s">
        <v>211</v>
      </c>
    </row>
    <row r="54" customFormat="false" ht="15" hidden="false" customHeight="false" outlineLevel="0" collapsed="false">
      <c r="B54" s="5" t="n">
        <v>52</v>
      </c>
      <c r="C54" s="6" t="s">
        <v>212</v>
      </c>
      <c r="D54" s="5" t="s">
        <v>213</v>
      </c>
      <c r="E54" s="6" t="s">
        <v>209</v>
      </c>
      <c r="F54" s="6" t="s">
        <v>214</v>
      </c>
      <c r="G54" s="7" t="n">
        <v>54.3</v>
      </c>
      <c r="H54" s="6" t="s">
        <v>215</v>
      </c>
    </row>
    <row r="55" customFormat="false" ht="15" hidden="false" customHeight="false" outlineLevel="0" collapsed="false">
      <c r="B55" s="5" t="n">
        <v>53</v>
      </c>
      <c r="C55" s="6" t="s">
        <v>216</v>
      </c>
      <c r="D55" s="5" t="s">
        <v>217</v>
      </c>
      <c r="E55" s="6" t="s">
        <v>209</v>
      </c>
      <c r="F55" s="6" t="s">
        <v>218</v>
      </c>
      <c r="G55" s="7" t="n">
        <v>78.56</v>
      </c>
      <c r="H55" s="6" t="s">
        <v>219</v>
      </c>
    </row>
    <row r="56" customFormat="false" ht="15" hidden="false" customHeight="false" outlineLevel="0" collapsed="false">
      <c r="B56" s="5" t="n">
        <v>54</v>
      </c>
      <c r="C56" s="6" t="s">
        <v>220</v>
      </c>
      <c r="D56" s="5" t="s">
        <v>221</v>
      </c>
      <c r="E56" s="6" t="s">
        <v>209</v>
      </c>
      <c r="F56" s="6" t="s">
        <v>222</v>
      </c>
      <c r="G56" s="7" t="n">
        <v>84.86</v>
      </c>
      <c r="H56" s="6" t="s">
        <v>223</v>
      </c>
    </row>
    <row r="57" customFormat="false" ht="15" hidden="false" customHeight="false" outlineLevel="0" collapsed="false">
      <c r="B57" s="5" t="n">
        <v>55</v>
      </c>
      <c r="C57" s="6" t="s">
        <v>224</v>
      </c>
      <c r="D57" s="5" t="s">
        <v>225</v>
      </c>
      <c r="E57" s="6" t="s">
        <v>209</v>
      </c>
      <c r="F57" s="6" t="s">
        <v>226</v>
      </c>
      <c r="G57" s="7" t="n">
        <v>98.78</v>
      </c>
      <c r="H57" s="6" t="s">
        <v>227</v>
      </c>
    </row>
    <row r="58" customFormat="false" ht="15" hidden="false" customHeight="false" outlineLevel="0" collapsed="false">
      <c r="B58" s="5" t="n">
        <v>56</v>
      </c>
      <c r="C58" s="6" t="s">
        <v>228</v>
      </c>
      <c r="D58" s="5" t="s">
        <v>229</v>
      </c>
      <c r="E58" s="6" t="s">
        <v>209</v>
      </c>
      <c r="F58" s="6" t="s">
        <v>230</v>
      </c>
      <c r="G58" s="7" t="n">
        <v>108.71</v>
      </c>
      <c r="H58" s="6" t="s">
        <v>231</v>
      </c>
    </row>
    <row r="59" customFormat="false" ht="15" hidden="false" customHeight="false" outlineLevel="0" collapsed="false">
      <c r="B59" s="5" t="n">
        <v>57</v>
      </c>
      <c r="C59" s="6" t="s">
        <v>232</v>
      </c>
      <c r="D59" s="5" t="s">
        <v>233</v>
      </c>
      <c r="E59" s="6" t="s">
        <v>209</v>
      </c>
      <c r="F59" s="6" t="s">
        <v>234</v>
      </c>
      <c r="G59" s="7" t="n">
        <v>117.04</v>
      </c>
      <c r="H59" s="6" t="s">
        <v>235</v>
      </c>
    </row>
    <row r="60" customFormat="false" ht="15" hidden="false" customHeight="false" outlineLevel="0" collapsed="false">
      <c r="B60" s="2" t="n">
        <v>58</v>
      </c>
      <c r="C60" s="3" t="s">
        <v>236</v>
      </c>
      <c r="D60" s="2" t="s">
        <v>237</v>
      </c>
      <c r="E60" s="3" t="s">
        <v>238</v>
      </c>
      <c r="F60" s="3"/>
      <c r="G60" s="4"/>
      <c r="H60" s="3"/>
    </row>
    <row r="61" customFormat="false" ht="15" hidden="false" customHeight="false" outlineLevel="0" collapsed="false">
      <c r="B61" s="5" t="n">
        <v>59</v>
      </c>
      <c r="C61" s="6" t="s">
        <v>239</v>
      </c>
      <c r="D61" s="5" t="s">
        <v>240</v>
      </c>
      <c r="E61" s="6" t="s">
        <v>241</v>
      </c>
      <c r="F61" s="6" t="s">
        <v>242</v>
      </c>
      <c r="G61" s="7" t="n">
        <v>137</v>
      </c>
      <c r="H61" s="6" t="s">
        <v>243</v>
      </c>
    </row>
    <row r="62" customFormat="false" ht="15" hidden="false" customHeight="false" outlineLevel="0" collapsed="false">
      <c r="B62" s="5" t="n">
        <v>60</v>
      </c>
      <c r="C62" s="6" t="s">
        <v>244</v>
      </c>
      <c r="D62" s="5" t="s">
        <v>245</v>
      </c>
      <c r="E62" s="6" t="s">
        <v>246</v>
      </c>
      <c r="F62" s="6" t="s">
        <v>247</v>
      </c>
      <c r="G62" s="7" t="n">
        <v>60.52</v>
      </c>
      <c r="H62" s="6" t="s">
        <v>248</v>
      </c>
    </row>
    <row r="63" customFormat="false" ht="15" hidden="false" customHeight="false" outlineLevel="0" collapsed="false">
      <c r="B63" s="5" t="n">
        <v>61</v>
      </c>
      <c r="C63" s="6" t="s">
        <v>249</v>
      </c>
      <c r="D63" s="5" t="s">
        <v>143</v>
      </c>
      <c r="E63" s="6" t="s">
        <v>250</v>
      </c>
      <c r="F63" s="6" t="s">
        <v>153</v>
      </c>
      <c r="G63" s="7" t="n">
        <v>78.96</v>
      </c>
      <c r="H63" s="6" t="s">
        <v>251</v>
      </c>
    </row>
    <row r="64" customFormat="false" ht="15" hidden="false" customHeight="false" outlineLevel="0" collapsed="false">
      <c r="B64" s="2" t="n">
        <v>62</v>
      </c>
      <c r="C64" s="3" t="s">
        <v>252</v>
      </c>
      <c r="D64" s="2" t="s">
        <v>253</v>
      </c>
      <c r="E64" s="3" t="s">
        <v>254</v>
      </c>
      <c r="F64" s="3" t="s">
        <v>255</v>
      </c>
      <c r="G64" s="4"/>
      <c r="H64" s="3"/>
    </row>
    <row r="65" customFormat="false" ht="15" hidden="false" customHeight="false" outlineLevel="0" collapsed="false">
      <c r="B65" s="5" t="n">
        <v>63</v>
      </c>
      <c r="C65" s="6" t="s">
        <v>256</v>
      </c>
      <c r="D65" s="5" t="s">
        <v>257</v>
      </c>
      <c r="E65" s="6" t="s">
        <v>254</v>
      </c>
      <c r="F65" s="6" t="s">
        <v>258</v>
      </c>
      <c r="G65" s="7" t="n">
        <v>10</v>
      </c>
      <c r="H65" s="6" t="s">
        <v>259</v>
      </c>
    </row>
    <row r="66" customFormat="false" ht="15" hidden="false" customHeight="false" outlineLevel="0" collapsed="false">
      <c r="B66" s="5" t="n">
        <v>64</v>
      </c>
      <c r="C66" s="6" t="s">
        <v>260</v>
      </c>
      <c r="D66" s="5" t="s">
        <v>261</v>
      </c>
      <c r="E66" s="6" t="s">
        <v>254</v>
      </c>
      <c r="F66" s="6" t="s">
        <v>262</v>
      </c>
      <c r="G66" s="7" t="n">
        <v>15.92</v>
      </c>
      <c r="H66" s="6" t="s">
        <v>263</v>
      </c>
    </row>
    <row r="67" customFormat="false" ht="15" hidden="false" customHeight="false" outlineLevel="0" collapsed="false">
      <c r="B67" s="5" t="n">
        <v>65</v>
      </c>
      <c r="C67" s="6" t="s">
        <v>264</v>
      </c>
      <c r="D67" s="5" t="s">
        <v>265</v>
      </c>
      <c r="E67" s="6" t="s">
        <v>254</v>
      </c>
      <c r="F67" s="6" t="s">
        <v>266</v>
      </c>
      <c r="G67" s="7" t="n">
        <v>17.82</v>
      </c>
      <c r="H67" s="6" t="s">
        <v>267</v>
      </c>
    </row>
    <row r="68" customFormat="false" ht="15" hidden="false" customHeight="false" outlineLevel="0" collapsed="false">
      <c r="B68" s="5" t="n">
        <v>66</v>
      </c>
      <c r="C68" s="6" t="s">
        <v>268</v>
      </c>
      <c r="D68" s="5" t="s">
        <v>269</v>
      </c>
      <c r="E68" s="6" t="s">
        <v>270</v>
      </c>
      <c r="F68" s="6" t="s">
        <v>271</v>
      </c>
      <c r="G68" s="7" t="n">
        <v>36</v>
      </c>
      <c r="H68" s="6" t="s">
        <v>272</v>
      </c>
    </row>
    <row r="69" customFormat="false" ht="15" hidden="false" customHeight="false" outlineLevel="0" collapsed="false">
      <c r="B69" s="5" t="n">
        <v>67</v>
      </c>
      <c r="C69" s="6" t="s">
        <v>273</v>
      </c>
      <c r="D69" s="5" t="s">
        <v>274</v>
      </c>
      <c r="E69" s="6" t="s">
        <v>275</v>
      </c>
      <c r="F69" s="6" t="s">
        <v>276</v>
      </c>
      <c r="G69" s="7" t="n">
        <v>56.8</v>
      </c>
      <c r="H69" s="6" t="s">
        <v>277</v>
      </c>
    </row>
    <row r="70" customFormat="false" ht="15" hidden="false" customHeight="false" outlineLevel="0" collapsed="false">
      <c r="B70" s="2" t="n">
        <v>68</v>
      </c>
      <c r="C70" s="3" t="s">
        <v>278</v>
      </c>
      <c r="D70" s="2" t="s">
        <v>279</v>
      </c>
      <c r="E70" s="3" t="s">
        <v>280</v>
      </c>
      <c r="F70" s="3" t="s">
        <v>281</v>
      </c>
      <c r="G70" s="4"/>
      <c r="H70" s="3"/>
    </row>
    <row r="71" customFormat="false" ht="15" hidden="false" customHeight="false" outlineLevel="0" collapsed="false">
      <c r="B71" s="5" t="n">
        <v>69</v>
      </c>
      <c r="C71" s="6" t="s">
        <v>282</v>
      </c>
      <c r="D71" s="5" t="s">
        <v>283</v>
      </c>
      <c r="E71" s="6" t="s">
        <v>284</v>
      </c>
      <c r="F71" s="6" t="s">
        <v>285</v>
      </c>
      <c r="G71" s="7" t="n">
        <v>8.19</v>
      </c>
      <c r="H71" s="6" t="s">
        <v>286</v>
      </c>
    </row>
    <row r="72" customFormat="false" ht="15" hidden="false" customHeight="false" outlineLevel="0" collapsed="false">
      <c r="B72" s="5" t="n">
        <v>70</v>
      </c>
      <c r="C72" s="6" t="s">
        <v>287</v>
      </c>
      <c r="D72" s="5" t="s">
        <v>288</v>
      </c>
      <c r="E72" s="6" t="s">
        <v>284</v>
      </c>
      <c r="F72" s="6" t="s">
        <v>285</v>
      </c>
      <c r="G72" s="7" t="n">
        <v>13.04</v>
      </c>
      <c r="H72" s="6" t="s">
        <v>289</v>
      </c>
    </row>
    <row r="73" customFormat="false" ht="15" hidden="false" customHeight="false" outlineLevel="0" collapsed="false">
      <c r="B73" s="5" t="n">
        <v>71</v>
      </c>
      <c r="C73" s="6" t="s">
        <v>290</v>
      </c>
      <c r="D73" s="5" t="s">
        <v>291</v>
      </c>
      <c r="E73" s="6" t="s">
        <v>284</v>
      </c>
      <c r="F73" s="6" t="s">
        <v>292</v>
      </c>
      <c r="G73" s="7" t="n">
        <v>20.27</v>
      </c>
      <c r="H73" s="6" t="s">
        <v>293</v>
      </c>
    </row>
    <row r="74" customFormat="false" ht="15" hidden="false" customHeight="false" outlineLevel="0" collapsed="false">
      <c r="B74" s="5" t="n">
        <v>72</v>
      </c>
      <c r="C74" s="6" t="s">
        <v>294</v>
      </c>
      <c r="D74" s="5" t="s">
        <v>295</v>
      </c>
      <c r="E74" s="6" t="s">
        <v>296</v>
      </c>
      <c r="F74" s="6" t="s">
        <v>297</v>
      </c>
      <c r="G74" s="7" t="n">
        <v>13.87</v>
      </c>
      <c r="H74" s="6" t="s">
        <v>298</v>
      </c>
    </row>
    <row r="75" customFormat="false" ht="15" hidden="false" customHeight="false" outlineLevel="0" collapsed="false">
      <c r="B75" s="2" t="n">
        <v>73</v>
      </c>
      <c r="C75" s="3" t="s">
        <v>299</v>
      </c>
      <c r="D75" s="2" t="s">
        <v>300</v>
      </c>
      <c r="E75" s="3" t="s">
        <v>296</v>
      </c>
      <c r="F75" s="3" t="s">
        <v>297</v>
      </c>
      <c r="G75" s="4"/>
      <c r="H75" s="3"/>
    </row>
    <row r="76" customFormat="false" ht="15" hidden="false" customHeight="false" outlineLevel="0" collapsed="false">
      <c r="B76" s="5" t="n">
        <v>74</v>
      </c>
      <c r="C76" s="6" t="s">
        <v>301</v>
      </c>
      <c r="D76" s="5" t="s">
        <v>302</v>
      </c>
      <c r="E76" s="6" t="s">
        <v>303</v>
      </c>
      <c r="F76" s="6" t="s">
        <v>304</v>
      </c>
      <c r="G76" s="7" t="n">
        <v>8.02</v>
      </c>
      <c r="H76" s="6" t="s">
        <v>305</v>
      </c>
    </row>
    <row r="77" customFormat="false" ht="15" hidden="false" customHeight="false" outlineLevel="0" collapsed="false">
      <c r="B77" s="5" t="n">
        <v>75</v>
      </c>
      <c r="C77" s="6" t="s">
        <v>306</v>
      </c>
      <c r="D77" s="5" t="s">
        <v>307</v>
      </c>
      <c r="E77" s="6" t="s">
        <v>303</v>
      </c>
      <c r="F77" s="6" t="s">
        <v>304</v>
      </c>
      <c r="G77" s="7" t="n">
        <v>8</v>
      </c>
      <c r="H77" s="6" t="s">
        <v>308</v>
      </c>
    </row>
    <row r="78" customFormat="false" ht="15" hidden="false" customHeight="false" outlineLevel="0" collapsed="false">
      <c r="B78" s="5" t="n">
        <v>76</v>
      </c>
      <c r="C78" s="6" t="s">
        <v>309</v>
      </c>
      <c r="D78" s="5" t="s">
        <v>310</v>
      </c>
      <c r="E78" s="6" t="s">
        <v>303</v>
      </c>
      <c r="F78" s="6" t="s">
        <v>311</v>
      </c>
      <c r="G78" s="7" t="n">
        <v>11.46</v>
      </c>
      <c r="H78" s="6" t="s">
        <v>312</v>
      </c>
    </row>
    <row r="79" customFormat="false" ht="15" hidden="false" customHeight="false" outlineLevel="0" collapsed="false">
      <c r="B79" s="5" t="n">
        <v>77</v>
      </c>
      <c r="C79" s="6" t="s">
        <v>313</v>
      </c>
      <c r="D79" s="5" t="s">
        <v>257</v>
      </c>
      <c r="E79" s="6" t="s">
        <v>303</v>
      </c>
      <c r="F79" s="6" t="s">
        <v>311</v>
      </c>
      <c r="G79" s="7" t="n">
        <v>11.6</v>
      </c>
      <c r="H79" s="6" t="s">
        <v>314</v>
      </c>
    </row>
    <row r="80" customFormat="false" ht="15" hidden="false" customHeight="false" outlineLevel="0" collapsed="false">
      <c r="B80" s="5" t="n">
        <v>78</v>
      </c>
      <c r="C80" s="6" t="s">
        <v>315</v>
      </c>
      <c r="D80" s="5" t="s">
        <v>261</v>
      </c>
      <c r="E80" s="6" t="s">
        <v>303</v>
      </c>
      <c r="F80" s="6" t="s">
        <v>316</v>
      </c>
      <c r="G80" s="7" t="n">
        <v>20.92</v>
      </c>
      <c r="H80" s="6" t="s">
        <v>317</v>
      </c>
    </row>
    <row r="81" customFormat="false" ht="15" hidden="false" customHeight="false" outlineLevel="0" collapsed="false">
      <c r="B81" s="5" t="n">
        <v>79</v>
      </c>
      <c r="C81" s="6" t="s">
        <v>318</v>
      </c>
      <c r="D81" s="5" t="s">
        <v>265</v>
      </c>
      <c r="E81" s="6" t="s">
        <v>303</v>
      </c>
      <c r="F81" s="6" t="s">
        <v>304</v>
      </c>
      <c r="G81" s="7" t="n">
        <v>19.29</v>
      </c>
      <c r="H81" s="6" t="s">
        <v>319</v>
      </c>
    </row>
    <row r="82" customFormat="false" ht="15" hidden="false" customHeight="false" outlineLevel="0" collapsed="false">
      <c r="B82" s="5" t="n">
        <v>80</v>
      </c>
      <c r="C82" s="6" t="s">
        <v>320</v>
      </c>
      <c r="D82" s="5" t="s">
        <v>321</v>
      </c>
      <c r="E82" s="6" t="s">
        <v>303</v>
      </c>
      <c r="F82" s="6" t="s">
        <v>322</v>
      </c>
      <c r="G82" s="7" t="n">
        <v>37.14</v>
      </c>
      <c r="H82" s="6" t="s">
        <v>323</v>
      </c>
    </row>
    <row r="83" customFormat="false" ht="15" hidden="false" customHeight="false" outlineLevel="0" collapsed="false">
      <c r="B83" s="5" t="n">
        <v>81</v>
      </c>
      <c r="C83" s="6" t="s">
        <v>324</v>
      </c>
      <c r="D83" s="5" t="s">
        <v>325</v>
      </c>
      <c r="E83" s="6" t="s">
        <v>326</v>
      </c>
      <c r="F83" s="6" t="s">
        <v>327</v>
      </c>
      <c r="G83" s="7" t="n">
        <v>6.67</v>
      </c>
      <c r="H83" s="6" t="s">
        <v>328</v>
      </c>
    </row>
    <row r="84" customFormat="false" ht="15" hidden="false" customHeight="false" outlineLevel="0" collapsed="false">
      <c r="B84" s="5" t="n">
        <v>82</v>
      </c>
      <c r="C84" s="6" t="s">
        <v>329</v>
      </c>
      <c r="D84" s="5" t="s">
        <v>330</v>
      </c>
      <c r="E84" s="6" t="s">
        <v>326</v>
      </c>
      <c r="F84" s="6" t="s">
        <v>160</v>
      </c>
      <c r="G84" s="7" t="n">
        <v>8</v>
      </c>
      <c r="H84" s="6" t="s">
        <v>331</v>
      </c>
    </row>
    <row r="85" customFormat="false" ht="15" hidden="false" customHeight="false" outlineLevel="0" collapsed="false">
      <c r="B85" s="5" t="n">
        <v>83</v>
      </c>
      <c r="C85" s="6" t="s">
        <v>332</v>
      </c>
      <c r="D85" s="5" t="s">
        <v>333</v>
      </c>
      <c r="E85" s="6" t="s">
        <v>326</v>
      </c>
      <c r="F85" s="6" t="s">
        <v>334</v>
      </c>
      <c r="G85" s="7" t="n">
        <v>13.35</v>
      </c>
      <c r="H85" s="6" t="s">
        <v>335</v>
      </c>
    </row>
    <row r="86" customFormat="false" ht="15" hidden="false" customHeight="false" outlineLevel="0" collapsed="false">
      <c r="B86" s="5" t="n">
        <v>84</v>
      </c>
      <c r="C86" s="6" t="s">
        <v>336</v>
      </c>
      <c r="D86" s="5" t="s">
        <v>337</v>
      </c>
      <c r="E86" s="6" t="s">
        <v>326</v>
      </c>
      <c r="F86" s="6" t="s">
        <v>160</v>
      </c>
      <c r="G86" s="7" t="n">
        <v>11.3</v>
      </c>
      <c r="H86" s="6" t="s">
        <v>338</v>
      </c>
    </row>
    <row r="87" customFormat="false" ht="15" hidden="false" customHeight="false" outlineLevel="0" collapsed="false">
      <c r="B87" s="5" t="n">
        <v>85</v>
      </c>
      <c r="C87" s="6" t="s">
        <v>339</v>
      </c>
      <c r="D87" s="5" t="s">
        <v>166</v>
      </c>
      <c r="E87" s="6" t="s">
        <v>326</v>
      </c>
      <c r="F87" s="6" t="s">
        <v>160</v>
      </c>
      <c r="G87" s="7" t="n">
        <v>15</v>
      </c>
      <c r="H87" s="6" t="s">
        <v>340</v>
      </c>
    </row>
    <row r="88" customFormat="false" ht="15" hidden="false" customHeight="false" outlineLevel="0" collapsed="false">
      <c r="B88" s="5" t="n">
        <v>86</v>
      </c>
      <c r="C88" s="6" t="s">
        <v>341</v>
      </c>
      <c r="D88" s="5" t="s">
        <v>342</v>
      </c>
      <c r="E88" s="6" t="s">
        <v>326</v>
      </c>
      <c r="F88" s="6" t="s">
        <v>160</v>
      </c>
      <c r="G88" s="7" t="n">
        <v>18.05</v>
      </c>
      <c r="H88" s="6" t="s">
        <v>343</v>
      </c>
    </row>
    <row r="89" customFormat="false" ht="15" hidden="false" customHeight="false" outlineLevel="0" collapsed="false">
      <c r="B89" s="5" t="n">
        <v>87</v>
      </c>
      <c r="C89" s="6" t="s">
        <v>344</v>
      </c>
      <c r="D89" s="5" t="s">
        <v>345</v>
      </c>
      <c r="E89" s="6" t="s">
        <v>346</v>
      </c>
      <c r="F89" s="6" t="s">
        <v>347</v>
      </c>
      <c r="G89" s="7" t="n">
        <v>9.91</v>
      </c>
      <c r="H89" s="6" t="s">
        <v>348</v>
      </c>
    </row>
    <row r="90" customFormat="false" ht="15" hidden="false" customHeight="false" outlineLevel="0" collapsed="false">
      <c r="B90" s="5" t="n">
        <v>88</v>
      </c>
      <c r="C90" s="6" t="s">
        <v>349</v>
      </c>
      <c r="D90" s="5" t="s">
        <v>350</v>
      </c>
      <c r="E90" s="6" t="s">
        <v>346</v>
      </c>
      <c r="F90" s="6" t="s">
        <v>351</v>
      </c>
      <c r="G90" s="7" t="n">
        <v>19.87</v>
      </c>
      <c r="H90" s="6" t="s">
        <v>352</v>
      </c>
    </row>
    <row r="91" customFormat="false" ht="15" hidden="false" customHeight="false" outlineLevel="0" collapsed="false">
      <c r="B91" s="5" t="n">
        <v>89</v>
      </c>
      <c r="C91" s="6" t="s">
        <v>353</v>
      </c>
      <c r="D91" s="5" t="s">
        <v>310</v>
      </c>
      <c r="E91" s="6" t="s">
        <v>354</v>
      </c>
      <c r="F91" s="6" t="s">
        <v>355</v>
      </c>
      <c r="G91" s="7" t="n">
        <v>6.91</v>
      </c>
      <c r="H91" s="6" t="s">
        <v>356</v>
      </c>
    </row>
    <row r="92" customFormat="false" ht="15" hidden="false" customHeight="false" outlineLevel="0" collapsed="false">
      <c r="B92" s="5" t="n">
        <v>90</v>
      </c>
      <c r="C92" s="6" t="s">
        <v>357</v>
      </c>
      <c r="D92" s="5" t="s">
        <v>261</v>
      </c>
      <c r="E92" s="6" t="s">
        <v>354</v>
      </c>
      <c r="F92" s="6" t="s">
        <v>247</v>
      </c>
      <c r="G92" s="7" t="n">
        <v>15.33</v>
      </c>
      <c r="H92" s="6" t="s">
        <v>358</v>
      </c>
    </row>
    <row r="93" customFormat="false" ht="15" hidden="false" customHeight="false" outlineLevel="0" collapsed="false">
      <c r="B93" s="5" t="n">
        <v>91</v>
      </c>
      <c r="C93" s="6" t="s">
        <v>359</v>
      </c>
      <c r="D93" s="5" t="s">
        <v>321</v>
      </c>
      <c r="E93" s="6" t="s">
        <v>354</v>
      </c>
      <c r="F93" s="6" t="s">
        <v>360</v>
      </c>
      <c r="G93" s="7" t="n">
        <v>30.04</v>
      </c>
      <c r="H93" s="6" t="s">
        <v>361</v>
      </c>
    </row>
    <row r="94" customFormat="false" ht="15" hidden="false" customHeight="false" outlineLevel="0" collapsed="false">
      <c r="B94" s="5" t="n">
        <v>92</v>
      </c>
      <c r="C94" s="6" t="s">
        <v>362</v>
      </c>
      <c r="D94" s="5" t="s">
        <v>363</v>
      </c>
      <c r="E94" s="6" t="s">
        <v>364</v>
      </c>
      <c r="F94" s="6" t="s">
        <v>365</v>
      </c>
      <c r="G94" s="7" t="n">
        <v>33.31</v>
      </c>
      <c r="H94" s="6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5" hidden="false" customHeight="false" outlineLevel="0" collapsed="false">
      <c r="B2" s="8" t="s">
        <v>3</v>
      </c>
      <c r="C2" s="8" t="s">
        <v>367</v>
      </c>
      <c r="D2" s="8" t="s">
        <v>368</v>
      </c>
      <c r="E2" s="8" t="s">
        <v>369</v>
      </c>
    </row>
    <row r="3" customFormat="false" ht="15" hidden="false" customHeight="false" outlineLevel="0" collapsed="false">
      <c r="B3" s="9" t="s">
        <v>50</v>
      </c>
      <c r="C3" s="10" t="n">
        <v>10</v>
      </c>
      <c r="D3" s="10" t="n">
        <v>10</v>
      </c>
      <c r="E3" s="11" t="n">
        <f aca="false">C3/D3</f>
        <v>1</v>
      </c>
    </row>
    <row r="4" customFormat="false" ht="15" hidden="false" customHeight="false" outlineLevel="0" collapsed="false">
      <c r="B4" s="9" t="s">
        <v>104</v>
      </c>
      <c r="C4" s="10" t="n">
        <v>6</v>
      </c>
      <c r="D4" s="10" t="n">
        <v>8</v>
      </c>
      <c r="E4" s="11" t="n">
        <f aca="false">C4/D4</f>
        <v>0.75</v>
      </c>
    </row>
    <row r="5" customFormat="false" ht="15" hidden="false" customHeight="false" outlineLevel="0" collapsed="false">
      <c r="B5" s="9" t="s">
        <v>21</v>
      </c>
      <c r="C5" s="10" t="n">
        <v>7</v>
      </c>
      <c r="D5" s="10" t="n">
        <v>7</v>
      </c>
      <c r="E5" s="11" t="n">
        <f aca="false">C5/D5</f>
        <v>1</v>
      </c>
    </row>
    <row r="6" customFormat="false" ht="15" hidden="false" customHeight="false" outlineLevel="0" collapsed="false">
      <c r="B6" s="9" t="s">
        <v>209</v>
      </c>
      <c r="C6" s="10" t="n">
        <v>7</v>
      </c>
      <c r="D6" s="10" t="n">
        <v>7</v>
      </c>
      <c r="E6" s="11" t="n">
        <f aca="false">C6/D6</f>
        <v>1</v>
      </c>
    </row>
    <row r="7" customFormat="false" ht="15" hidden="false" customHeight="false" outlineLevel="0" collapsed="false">
      <c r="B7" s="9" t="s">
        <v>303</v>
      </c>
      <c r="C7" s="10" t="n">
        <v>7</v>
      </c>
      <c r="D7" s="10" t="n">
        <v>7</v>
      </c>
      <c r="E7" s="11" t="n">
        <f aca="false">C7/D7</f>
        <v>1</v>
      </c>
    </row>
    <row r="8" customFormat="false" ht="15" hidden="false" customHeight="false" outlineLevel="0" collapsed="false">
      <c r="B8" s="9" t="s">
        <v>148</v>
      </c>
      <c r="C8" s="10" t="n">
        <v>6</v>
      </c>
      <c r="D8" s="10" t="n">
        <v>6</v>
      </c>
      <c r="E8" s="11" t="n">
        <f aca="false">C8/D8</f>
        <v>1</v>
      </c>
    </row>
    <row r="9" customFormat="false" ht="15" hidden="false" customHeight="false" outlineLevel="0" collapsed="false">
      <c r="B9" s="9" t="s">
        <v>326</v>
      </c>
      <c r="C9" s="10" t="n">
        <v>6</v>
      </c>
      <c r="D9" s="10" t="n">
        <v>6</v>
      </c>
      <c r="E9" s="11" t="n">
        <f aca="false">C9/D9</f>
        <v>1</v>
      </c>
    </row>
    <row r="10" customFormat="false" ht="15" hidden="false" customHeight="false" outlineLevel="0" collapsed="false">
      <c r="B10" s="9" t="s">
        <v>181</v>
      </c>
      <c r="C10" s="10" t="n">
        <v>5</v>
      </c>
      <c r="D10" s="10" t="n">
        <v>5</v>
      </c>
      <c r="E10" s="11" t="n">
        <f aca="false">C10/D10</f>
        <v>1</v>
      </c>
    </row>
    <row r="11" customFormat="false" ht="15" hidden="false" customHeight="false" outlineLevel="0" collapsed="false">
      <c r="B11" s="9" t="s">
        <v>89</v>
      </c>
      <c r="C11" s="10" t="n">
        <v>3</v>
      </c>
      <c r="D11" s="10" t="n">
        <v>4</v>
      </c>
      <c r="E11" s="11" t="n">
        <f aca="false">C11/D11</f>
        <v>0.75</v>
      </c>
    </row>
    <row r="12" customFormat="false" ht="15" hidden="false" customHeight="false" outlineLevel="0" collapsed="false">
      <c r="B12" s="9" t="s">
        <v>254</v>
      </c>
      <c r="C12" s="10" t="n">
        <v>3</v>
      </c>
      <c r="D12" s="10" t="n">
        <v>4</v>
      </c>
      <c r="E12" s="11" t="n">
        <f aca="false">C12/D12</f>
        <v>0.75</v>
      </c>
    </row>
    <row r="13" customFormat="false" ht="15" hidden="false" customHeight="false" outlineLevel="0" collapsed="false">
      <c r="B13" s="9" t="s">
        <v>284</v>
      </c>
      <c r="C13" s="10" t="n">
        <v>3</v>
      </c>
      <c r="D13" s="10" t="n">
        <v>3</v>
      </c>
      <c r="E13" s="11" t="n">
        <f aca="false">C13/D13</f>
        <v>1</v>
      </c>
    </row>
    <row r="14" customFormat="false" ht="15" hidden="false" customHeight="false" outlineLevel="0" collapsed="false">
      <c r="B14" s="9" t="s">
        <v>354</v>
      </c>
      <c r="C14" s="10" t="n">
        <v>3</v>
      </c>
      <c r="D14" s="10" t="n">
        <v>3</v>
      </c>
      <c r="E14" s="11" t="n">
        <f aca="false">C14/D14</f>
        <v>1</v>
      </c>
    </row>
    <row r="15" customFormat="false" ht="15" hidden="false" customHeight="false" outlineLevel="0" collapsed="false">
      <c r="B15" s="9" t="s">
        <v>9</v>
      </c>
      <c r="C15" s="10" t="n">
        <v>0</v>
      </c>
      <c r="D15" s="10" t="n">
        <v>2</v>
      </c>
      <c r="E15" s="11" t="n">
        <f aca="false">C15/D15</f>
        <v>0</v>
      </c>
    </row>
    <row r="16" customFormat="false" ht="15" hidden="false" customHeight="false" outlineLevel="0" collapsed="false">
      <c r="B16" s="9" t="s">
        <v>139</v>
      </c>
      <c r="C16" s="10" t="n">
        <v>2</v>
      </c>
      <c r="D16" s="10" t="n">
        <v>2</v>
      </c>
      <c r="E16" s="11" t="n">
        <f aca="false">C16/D16</f>
        <v>1</v>
      </c>
    </row>
    <row r="17" customFormat="false" ht="15" hidden="false" customHeight="false" outlineLevel="0" collapsed="false">
      <c r="B17" s="9" t="s">
        <v>346</v>
      </c>
      <c r="C17" s="10" t="n">
        <v>2</v>
      </c>
      <c r="D17" s="10" t="n">
        <v>2</v>
      </c>
      <c r="E17" s="11" t="n">
        <f aca="false">C17/D17</f>
        <v>1</v>
      </c>
    </row>
    <row r="18" customFormat="false" ht="15" hidden="false" customHeight="false" outlineLevel="0" collapsed="false">
      <c r="B18" s="9" t="s">
        <v>296</v>
      </c>
      <c r="C18" s="10" t="n">
        <v>1</v>
      </c>
      <c r="D18" s="10" t="n">
        <v>2</v>
      </c>
      <c r="E18" s="11" t="n">
        <f aca="false">C18/D18</f>
        <v>0.5</v>
      </c>
    </row>
    <row r="19" customFormat="false" ht="15" hidden="false" customHeight="false" outlineLevel="0" collapsed="false">
      <c r="B19" s="9" t="s">
        <v>176</v>
      </c>
      <c r="C19" s="10" t="n">
        <v>1</v>
      </c>
      <c r="D19" s="10" t="n">
        <v>1</v>
      </c>
      <c r="E19" s="11" t="n">
        <f aca="false">C19/D19</f>
        <v>1</v>
      </c>
    </row>
    <row r="20" customFormat="false" ht="15" hidden="false" customHeight="false" outlineLevel="0" collapsed="false">
      <c r="B20" s="9" t="s">
        <v>270</v>
      </c>
      <c r="C20" s="10" t="n">
        <v>1</v>
      </c>
      <c r="D20" s="10" t="n">
        <v>1</v>
      </c>
      <c r="E20" s="11" t="n">
        <f aca="false">C20/D20</f>
        <v>1</v>
      </c>
    </row>
    <row r="21" customFormat="false" ht="15" hidden="false" customHeight="false" outlineLevel="0" collapsed="false">
      <c r="B21" s="9" t="s">
        <v>200</v>
      </c>
      <c r="C21" s="10" t="n">
        <v>1</v>
      </c>
      <c r="D21" s="10" t="n">
        <v>1</v>
      </c>
      <c r="E21" s="11" t="n">
        <f aca="false">C21/D21</f>
        <v>1</v>
      </c>
    </row>
    <row r="22" customFormat="false" ht="15" hidden="false" customHeight="false" outlineLevel="0" collapsed="false">
      <c r="B22" s="9" t="s">
        <v>204</v>
      </c>
      <c r="C22" s="10" t="n">
        <v>1</v>
      </c>
      <c r="D22" s="10" t="n">
        <v>1</v>
      </c>
      <c r="E22" s="11" t="n">
        <f aca="false">C22/D22</f>
        <v>1</v>
      </c>
    </row>
    <row r="23" customFormat="false" ht="15" hidden="false" customHeight="false" outlineLevel="0" collapsed="false">
      <c r="B23" s="9" t="s">
        <v>275</v>
      </c>
      <c r="C23" s="10" t="n">
        <v>1</v>
      </c>
      <c r="D23" s="10" t="n">
        <v>1</v>
      </c>
      <c r="E23" s="11" t="n">
        <f aca="false">C23/D23</f>
        <v>1</v>
      </c>
    </row>
    <row r="24" customFormat="false" ht="15" hidden="false" customHeight="false" outlineLevel="0" collapsed="false">
      <c r="B24" s="9" t="s">
        <v>246</v>
      </c>
      <c r="C24" s="10" t="n">
        <v>1</v>
      </c>
      <c r="D24" s="10" t="n">
        <v>1</v>
      </c>
      <c r="E24" s="11" t="n">
        <f aca="false">C24/D24</f>
        <v>1</v>
      </c>
    </row>
    <row r="25" customFormat="false" ht="15" hidden="false" customHeight="false" outlineLevel="0" collapsed="false">
      <c r="B25" s="9" t="s">
        <v>238</v>
      </c>
      <c r="C25" s="10" t="n">
        <v>0</v>
      </c>
      <c r="D25" s="10" t="n">
        <v>1</v>
      </c>
      <c r="E25" s="11" t="n">
        <f aca="false">C25/D25</f>
        <v>0</v>
      </c>
    </row>
    <row r="26" customFormat="false" ht="15" hidden="false" customHeight="false" outlineLevel="0" collapsed="false">
      <c r="B26" s="9" t="s">
        <v>250</v>
      </c>
      <c r="C26" s="10" t="n">
        <v>1</v>
      </c>
      <c r="D26" s="10" t="n">
        <v>1</v>
      </c>
      <c r="E26" s="11" t="n">
        <f aca="false">C26/D26</f>
        <v>1</v>
      </c>
    </row>
    <row r="27" customFormat="false" ht="15" hidden="false" customHeight="false" outlineLevel="0" collapsed="false">
      <c r="B27" s="9" t="s">
        <v>16</v>
      </c>
      <c r="C27" s="10" t="n">
        <v>1</v>
      </c>
      <c r="D27" s="10" t="n">
        <v>1</v>
      </c>
      <c r="E27" s="11" t="n">
        <f aca="false">C27/D27</f>
        <v>1</v>
      </c>
    </row>
    <row r="28" customFormat="false" ht="15" hidden="false" customHeight="false" outlineLevel="0" collapsed="false">
      <c r="B28" s="9" t="s">
        <v>241</v>
      </c>
      <c r="C28" s="10" t="n">
        <v>1</v>
      </c>
      <c r="D28" s="10" t="n">
        <v>1</v>
      </c>
      <c r="E28" s="11" t="n">
        <f aca="false">C28/D28</f>
        <v>1</v>
      </c>
    </row>
    <row r="29" customFormat="false" ht="15" hidden="false" customHeight="false" outlineLevel="0" collapsed="false">
      <c r="B29" s="9" t="s">
        <v>280</v>
      </c>
      <c r="C29" s="10" t="n">
        <v>0</v>
      </c>
      <c r="D29" s="10" t="n">
        <v>1</v>
      </c>
      <c r="E29" s="11" t="n">
        <f aca="false">C29/D29</f>
        <v>0</v>
      </c>
    </row>
    <row r="30" customFormat="false" ht="15" hidden="false" customHeight="false" outlineLevel="0" collapsed="false">
      <c r="B30" s="9" t="s">
        <v>364</v>
      </c>
      <c r="C30" s="10" t="n">
        <v>1</v>
      </c>
      <c r="D30" s="10" t="n">
        <v>1</v>
      </c>
      <c r="E30" s="11" t="n">
        <f aca="false">C30/D30</f>
        <v>1</v>
      </c>
    </row>
    <row r="31" customFormat="false" ht="15" hidden="false" customHeight="false" outlineLevel="0" collapsed="false">
      <c r="B31" s="9" t="s">
        <v>134</v>
      </c>
      <c r="C31" s="10" t="n">
        <v>1</v>
      </c>
      <c r="D31" s="10" t="n">
        <v>1</v>
      </c>
      <c r="E31" s="11" t="n">
        <f aca="false">C31/D31</f>
        <v>1</v>
      </c>
    </row>
    <row r="32" customFormat="false" ht="15" hidden="false" customHeight="false" outlineLevel="0" collapsed="false">
      <c r="B32" s="9" t="s">
        <v>171</v>
      </c>
      <c r="C32" s="10" t="n">
        <v>1</v>
      </c>
      <c r="D32" s="10" t="n">
        <v>1</v>
      </c>
      <c r="E32" s="11" t="n">
        <f aca="false">C32/D32</f>
        <v>1</v>
      </c>
    </row>
    <row r="33" customFormat="false" ht="15" hidden="false" customHeight="false" outlineLevel="0" collapsed="false">
      <c r="B33" s="12" t="s">
        <v>370</v>
      </c>
      <c r="C33" s="13" t="n">
        <f aca="false">SUM(C3:C32)</f>
        <v>83</v>
      </c>
      <c r="D33" s="13" t="n">
        <f aca="false">SUM(D3:D32)</f>
        <v>92</v>
      </c>
      <c r="E33" s="14" t="n">
        <f aca="false">C33/D33</f>
        <v>0.902173913043478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5" t="s">
        <v>371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16" t="s">
        <v>372</v>
      </c>
    </row>
    <row r="5" customFormat="false" ht="15" hidden="false" customHeight="false" outlineLevel="0" collapsed="false">
      <c r="B5" s="16" t="s">
        <v>373</v>
      </c>
    </row>
    <row r="6" customFormat="false" ht="15" hidden="false" customHeight="false" outlineLevel="0" collapsed="false">
      <c r="B6" s="16" t="s">
        <v>374</v>
      </c>
    </row>
    <row r="7" customFormat="false" ht="15" hidden="false" customHeight="false" outlineLevel="0" collapsed="false">
      <c r="B7" s="16" t="s">
        <v>375</v>
      </c>
    </row>
    <row r="8" customFormat="false" ht="15" hidden="false" customHeight="false" outlineLevel="0" collapsed="false">
      <c r="B8" s="16"/>
    </row>
    <row r="9" customFormat="false" ht="15" hidden="false" customHeight="false" outlineLevel="0" collapsed="false">
      <c r="B9" s="15" t="s">
        <v>376</v>
      </c>
    </row>
    <row r="10" customFormat="false" ht="15" hidden="false" customHeight="false" outlineLevel="0" collapsed="false">
      <c r="B10" s="16" t="s">
        <v>377</v>
      </c>
    </row>
    <row r="11" customFormat="false" ht="15" hidden="false" customHeight="false" outlineLevel="0" collapsed="false">
      <c r="B11" s="16" t="s">
        <v>378</v>
      </c>
    </row>
    <row r="12" customFormat="false" ht="15" hidden="false" customHeight="false" outlineLevel="0" collapsed="false">
      <c r="B12" s="16" t="s">
        <v>379</v>
      </c>
    </row>
    <row r="13" customFormat="false" ht="15" hidden="false" customHeight="false" outlineLevel="0" collapsed="false">
      <c r="B13" s="16" t="s">
        <v>380</v>
      </c>
    </row>
    <row r="14" customFormat="false" ht="15" hidden="false" customHeight="false" outlineLevel="0" collapsed="false">
      <c r="B14" s="16"/>
    </row>
    <row r="15" customFormat="false" ht="15" hidden="false" customHeight="false" outlineLevel="0" collapsed="false">
      <c r="B15" s="15" t="s">
        <v>381</v>
      </c>
    </row>
    <row r="16" customFormat="false" ht="15" hidden="false" customHeight="false" outlineLevel="0" collapsed="false">
      <c r="B16" s="16" t="s">
        <v>382</v>
      </c>
    </row>
    <row r="17" customFormat="false" ht="15" hidden="false" customHeight="false" outlineLevel="0" collapsed="false">
      <c r="B17" s="16" t="s">
        <v>383</v>
      </c>
    </row>
    <row r="18" customFormat="false" ht="15" hidden="false" customHeight="false" outlineLevel="0" collapsed="false">
      <c r="B18" s="16" t="s">
        <v>384</v>
      </c>
    </row>
    <row r="19" customFormat="false" ht="15" hidden="false" customHeight="false" outlineLevel="0" collapsed="false">
      <c r="B19" s="16" t="s">
        <v>385</v>
      </c>
    </row>
    <row r="20" customFormat="false" ht="15" hidden="false" customHeight="false" outlineLevel="0" collapsed="false">
      <c r="B20" s="16"/>
    </row>
    <row r="21" customFormat="false" ht="15" hidden="false" customHeight="false" outlineLevel="0" collapsed="false">
      <c r="B21" s="15" t="s">
        <v>386</v>
      </c>
    </row>
    <row r="22" customFormat="false" ht="15" hidden="false" customHeight="false" outlineLevel="0" collapsed="false">
      <c r="B22" s="16" t="s">
        <v>387</v>
      </c>
    </row>
    <row r="23" customFormat="false" ht="15" hidden="false" customHeight="false" outlineLevel="0" collapsed="false">
      <c r="B23" s="16" t="s">
        <v>388</v>
      </c>
    </row>
    <row r="24" customFormat="false" ht="15" hidden="false" customHeight="false" outlineLevel="0" collapsed="false">
      <c r="B24" s="16"/>
    </row>
    <row r="25" customFormat="false" ht="15" hidden="false" customHeight="false" outlineLevel="0" collapsed="false">
      <c r="B25" s="15" t="s">
        <v>389</v>
      </c>
    </row>
    <row r="26" customFormat="false" ht="15" hidden="false" customHeight="false" outlineLevel="0" collapsed="false">
      <c r="B26" s="16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2026-07-14T12:59:34Z</dcterms:created>
  <dc:creator>openpyxl</dc:creator>
  <dc:description/>
  <dc:language>en-US</dc:language>
  <cp:lastModifiedBy/>
  <dcterms:modified xsi:type="dcterms:W3CDTF">2026-07-14T12:59:34Z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