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tas_wagi" sheetId="1" state="visible" r:id="rId3"/>
    <sheet name="Pokrycie" sheetId="2" state="visible" r:id="rId4"/>
    <sheet name="Inf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<sst xmlns="http://schemas.openxmlformats.org/spreadsheetml/2006/main" count="494" uniqueCount="318">
  <si>
    <t xml:space="preserve">#</t>
  </si>
  <si>
    <t xml:space="preserve">Nazwa oryginalna</t>
  </si>
  <si>
    <t xml:space="preserve">Rozmiar</t>
  </si>
  <si>
    <t xml:space="preserve">Seria</t>
  </si>
  <si>
    <t xml:space="preserve">Indeks/opis</t>
  </si>
  <si>
    <t xml:space="preserve">Waga (kg)</t>
  </si>
  <si>
    <t xml:space="preserve">Źródło wagi</t>
  </si>
  <si>
    <t xml:space="preserve">440/65R24 Mitas AC 65 128D/131A8 TL demo</t>
  </si>
  <si>
    <t xml:space="preserve">440/65R24</t>
  </si>
  <si>
    <t xml:space="preserve">AC 65</t>
  </si>
  <si>
    <t xml:space="preserve">128D/131A8 TL demo</t>
  </si>
  <si>
    <t xml:space="preserve">https://www.baywa.de/de/landtechnik/traktor/reifen-raeder/traktorreifen/mitas/mitas-traktorreifen-ac-65-radial-tl/p-000000000001588650/</t>
  </si>
  <si>
    <t xml:space="preserve">440/65R24 Mitas AC 65 128D/131A8 TL</t>
  </si>
  <si>
    <t xml:space="preserve">128D/131A8 TL</t>
  </si>
  <si>
    <t xml:space="preserve">480/65R28 Mitas AC 65 136D/139A8 TL</t>
  </si>
  <si>
    <t xml:space="preserve">480/65R28</t>
  </si>
  <si>
    <t xml:space="preserve">136D/139A8 TL</t>
  </si>
  <si>
    <t xml:space="preserve">https://onlineshop.bohnenkamp.at/en/tyre-mitas-ac-65-480-65-r-28-10927840</t>
  </si>
  <si>
    <t xml:space="preserve">540/65R28 Mitas AC 65 142D/145A8 TL demo</t>
  </si>
  <si>
    <t xml:space="preserve">540/65R28</t>
  </si>
  <si>
    <t xml:space="preserve">142D/145A8 TL demo</t>
  </si>
  <si>
    <t xml:space="preserve">https://onlineshop.bohnenkamp.de/de/reifen-mitas-ac-65-540-65-r-28-10927830</t>
  </si>
  <si>
    <t xml:space="preserve">540/65R34 Mitas AC 65 145D/148A8 TL demo</t>
  </si>
  <si>
    <t xml:space="preserve">540/65R34</t>
  </si>
  <si>
    <t xml:space="preserve">145D/148A8 TL demo</t>
  </si>
  <si>
    <t xml:space="preserve">https://onlineshop.bohnenkamp-suisse.ch/de/reifen-mitas-ac-65-540-65-r-34-10928020</t>
  </si>
  <si>
    <t xml:space="preserve">540/65R38 Mitas AC 65 147D/150A8 TL</t>
  </si>
  <si>
    <t xml:space="preserve">540/65R38</t>
  </si>
  <si>
    <t xml:space="preserve">147D/150A8 TL</t>
  </si>
  <si>
    <t xml:space="preserve">https://onlineshop.bohnenkamp.at/de/reifen-mitas-ac-65-540-65-r-38-10928170</t>
  </si>
  <si>
    <t xml:space="preserve">600/65R38 Mitas AC 65 153D/156A8 TL</t>
  </si>
  <si>
    <t xml:space="preserve">600/65R38</t>
  </si>
  <si>
    <t xml:space="preserve">153D/156A8 TL</t>
  </si>
  <si>
    <t xml:space="preserve">https://ditopony.pl/certyfikaty/printMitasPressureTable.php?data=WyIxOTA5MSIsNDAwNjM0MTE1MDAwMV0=</t>
  </si>
  <si>
    <t xml:space="preserve">650/65R38 Mitas AC 65 157D/160A8 TL</t>
  </si>
  <si>
    <t xml:space="preserve">650/65R38</t>
  </si>
  <si>
    <t xml:space="preserve">157D/160A8 TL</t>
  </si>
  <si>
    <t xml:space="preserve">https://www.reifen-ketten.at/reifen/detail/19929</t>
  </si>
  <si>
    <t xml:space="preserve">480/70R24 Mitas AC 70 G 138A8 TL</t>
  </si>
  <si>
    <t xml:space="preserve">480/70R24</t>
  </si>
  <si>
    <t xml:space="preserve">AC 70</t>
  </si>
  <si>
    <t xml:space="preserve">G 138A8 TL</t>
  </si>
  <si>
    <t xml:space="preserve">270/95R32 Mitas AC 85 136A8/136B TL</t>
  </si>
  <si>
    <t xml:space="preserve">270/95R32</t>
  </si>
  <si>
    <t xml:space="preserve">AC 85</t>
  </si>
  <si>
    <t xml:space="preserve">136A8/136B TL</t>
  </si>
  <si>
    <t xml:space="preserve">280/85R28 Mitas AC 85 (11.2R28) 118A8/118B TL</t>
  </si>
  <si>
    <t xml:space="preserve">280/85R28</t>
  </si>
  <si>
    <t xml:space="preserve">118A8/118B TL</t>
  </si>
  <si>
    <t xml:space="preserve">340/85R38 Mitas AC 85 133A8/133B TL</t>
  </si>
  <si>
    <t xml:space="preserve">340/85R38</t>
  </si>
  <si>
    <t xml:space="preserve">133A8/133B TL</t>
  </si>
  <si>
    <t xml:space="preserve">380/90R46 Mitas AC 85 159A8/156B TL</t>
  </si>
  <si>
    <t xml:space="preserve">380/90R46</t>
  </si>
  <si>
    <t xml:space="preserve">159A8/156B TL</t>
  </si>
  <si>
    <t xml:space="preserve">https://sgshina.ru/selhozshiny/shina-mitas-380-90r46-159a8-159b-tl-ac85</t>
  </si>
  <si>
    <t xml:space="preserve">380/90R50 Mitas AC 85 160A8/160B TL</t>
  </si>
  <si>
    <t xml:space="preserve">380/90R50</t>
  </si>
  <si>
    <t xml:space="preserve">160A8/160B TL</t>
  </si>
  <si>
    <t xml:space="preserve">270/80R32 Mitas AC 90 131A8/128B TL</t>
  </si>
  <si>
    <t xml:space="preserve">270/80R32</t>
  </si>
  <si>
    <t xml:space="preserve">AC 90</t>
  </si>
  <si>
    <t xml:space="preserve">131A8/128B TL</t>
  </si>
  <si>
    <t xml:space="preserve">https://www.heba-reifen.at/produkt/mitas-270-80r32-tl-ac90-131a8-128b/</t>
  </si>
  <si>
    <t xml:space="preserve">300/95R42 Mitas AC 90 147A8/144B TL</t>
  </si>
  <si>
    <t xml:space="preserve">300/95R42</t>
  </si>
  <si>
    <t xml:space="preserve">147A8/144B TL</t>
  </si>
  <si>
    <t xml:space="preserve">https://onlineshop.bohnenkamp.at/de/reifen-mitas-ac-90-300-95-r-42-10926488</t>
  </si>
  <si>
    <t xml:space="preserve">28x9.00-15 Mitas AC30 6PR TT</t>
  </si>
  <si>
    <t xml:space="preserve">28x9.00-15</t>
  </si>
  <si>
    <t xml:space="preserve">AC30</t>
  </si>
  <si>
    <t xml:space="preserve">6PR TT</t>
  </si>
  <si>
    <t xml:space="preserve">710/70R38 Mitas AC65 166D/169A8 TL</t>
  </si>
  <si>
    <t xml:space="preserve">710/70R38</t>
  </si>
  <si>
    <t xml:space="preserve">AC65</t>
  </si>
  <si>
    <t xml:space="preserve">166D/169A8 TL</t>
  </si>
  <si>
    <t xml:space="preserve">https://www.e-agropneu.de/reifen/71070-r38-tl-mitas-ac65-166d169a8-k8589.htm</t>
  </si>
  <si>
    <t xml:space="preserve">280/70R16 Mitas AC70T 112A8/112B TL</t>
  </si>
  <si>
    <t xml:space="preserve">280/70R16</t>
  </si>
  <si>
    <t xml:space="preserve">AC70</t>
  </si>
  <si>
    <t xml:space="preserve">T 112A8/112B TL</t>
  </si>
  <si>
    <t xml:space="preserve">380/70R28 Mitas AC70 127A8/127B TL</t>
  </si>
  <si>
    <t xml:space="preserve">380/70R28</t>
  </si>
  <si>
    <t xml:space="preserve">127A8/127B TL</t>
  </si>
  <si>
    <t xml:space="preserve">445/65R22.5 Mitas AC70+ 160G TL</t>
  </si>
  <si>
    <t xml:space="preserve">445/65R22.5</t>
  </si>
  <si>
    <t xml:space="preserve">+ 160G TL</t>
  </si>
  <si>
    <t xml:space="preserve">https://onlineshop.bohnenkamp.at/de/reifen-mitas-ac-70-445-65-r-22-5-10927620</t>
  </si>
  <si>
    <t xml:space="preserve">380/70R24 Mitas AC70 G 125A8/125B TL</t>
  </si>
  <si>
    <t xml:space="preserve">380/70R24</t>
  </si>
  <si>
    <t xml:space="preserve">AC70 G</t>
  </si>
  <si>
    <t xml:space="preserve">125A8/125B TL</t>
  </si>
  <si>
    <t xml:space="preserve">https://www.baywa.de/de/landtechnik/traktor/reifen-raeder/traktorreifen/mitas/mitas-traktorreifen-ac-70g-radial-tl-fuer-/p-000000000001401677/</t>
  </si>
  <si>
    <t xml:space="preserve">480/70R24 Mitas AC70 G 138A8/138B TL</t>
  </si>
  <si>
    <t xml:space="preserve">138A8/138B TL</t>
  </si>
  <si>
    <t xml:space="preserve">14.9R34 Mitas AC85 146A8/146B TL</t>
  </si>
  <si>
    <t xml:space="preserve">14.9R34</t>
  </si>
  <si>
    <t xml:space="preserve">AC85</t>
  </si>
  <si>
    <t xml:space="preserve">146A8/146B TL</t>
  </si>
  <si>
    <t xml:space="preserve">11.2R42 Mitas AC90 144A8/141A8 TL</t>
  </si>
  <si>
    <t xml:space="preserve">11.2R42</t>
  </si>
  <si>
    <t xml:space="preserve">AC90</t>
  </si>
  <si>
    <t xml:space="preserve">144A8/141A8 TL</t>
  </si>
  <si>
    <t xml:space="preserve">12.4R42 Mitas AC90 147A8/144B TL</t>
  </si>
  <si>
    <t xml:space="preserve">12.4R42</t>
  </si>
  <si>
    <t xml:space="preserve">https://ditopony.pl/certyfikaty/printMitasPressureTable.php?data=WyIxOTUwNyIsNTAxMTUxNDk2MDAwMV0=</t>
  </si>
  <si>
    <t xml:space="preserve">270/80R36 Mitas AC90 134A8/131B TL</t>
  </si>
  <si>
    <t xml:space="preserve">270/80R36</t>
  </si>
  <si>
    <t xml:space="preserve">134A8/131B TL</t>
  </si>
  <si>
    <t xml:space="preserve">https://onlineshop.bohnenkamp.at/de/reifen-mitas-ac-90-270-80-r-36-10926484</t>
  </si>
  <si>
    <t xml:space="preserve">650/55R26.5 Mitas AGRITERRA 02 169D TL</t>
  </si>
  <si>
    <t xml:space="preserve">650/55R26.5</t>
  </si>
  <si>
    <t xml:space="preserve">AGRITERRA</t>
  </si>
  <si>
    <t xml:space="preserve">02 169D TL</t>
  </si>
  <si>
    <t xml:space="preserve">https://www.mitas-tires.com/-/media/mitas-tyres/catalogues-leaflets/us/mitas_agriterra_2021_us_lr.pdf?rev=-1</t>
  </si>
  <si>
    <t xml:space="preserve">4.00-10 Mitas B12 2PR TT</t>
  </si>
  <si>
    <t xml:space="preserve">4.00-10</t>
  </si>
  <si>
    <t xml:space="preserve">B12</t>
  </si>
  <si>
    <t xml:space="preserve">2PR TT</t>
  </si>
  <si>
    <t xml:space="preserve">https://www.atpmotor.cz/images/stories/Ceniky/MITAS.pdf</t>
  </si>
  <si>
    <t xml:space="preserve">5.00-10 Mitas B17 4PR TT</t>
  </si>
  <si>
    <t xml:space="preserve">5.00-10</t>
  </si>
  <si>
    <t xml:space="preserve">B17</t>
  </si>
  <si>
    <t xml:space="preserve">4PR TT</t>
  </si>
  <si>
    <t xml:space="preserve">80-12 Mitas B18 4PR TT</t>
  </si>
  <si>
    <t xml:space="preserve">80-12</t>
  </si>
  <si>
    <t xml:space="preserve">B18</t>
  </si>
  <si>
    <t xml:space="preserve">10.5/80-18 Mitas BIG BOY 10PR TL</t>
  </si>
  <si>
    <t xml:space="preserve">10.5/80-18</t>
  </si>
  <si>
    <t xml:space="preserve">BIG</t>
  </si>
  <si>
    <t xml:space="preserve">BOY 10PR TL</t>
  </si>
  <si>
    <t xml:space="preserve">https://www.atpmotor.cz/cs/e-shop/123472-pneu-mitas-10-5-80-18-10pr-big-boy-tl</t>
  </si>
  <si>
    <t xml:space="preserve">11.00-20 Mitas COMP SMOOTH 18PR TT</t>
  </si>
  <si>
    <t xml:space="preserve">11.00-20</t>
  </si>
  <si>
    <t xml:space="preserve">COMP SMOOTH</t>
  </si>
  <si>
    <t xml:space="preserve">18PR TT</t>
  </si>
  <si>
    <t xml:space="preserve">19.5R24 Mitas EM-01 164A8 TL</t>
  </si>
  <si>
    <t xml:space="preserve">19.5R24</t>
  </si>
  <si>
    <t xml:space="preserve">EM-01</t>
  </si>
  <si>
    <t xml:space="preserve">164A8 TL</t>
  </si>
  <si>
    <t xml:space="preserve">12.5R18 Mitas EM-02 139B TL</t>
  </si>
  <si>
    <t xml:space="preserve">12.5R18</t>
  </si>
  <si>
    <t xml:space="preserve">EM-02</t>
  </si>
  <si>
    <t xml:space="preserve">139B TL</t>
  </si>
  <si>
    <t xml:space="preserve">16x6-8 Mitas FL-08 16PR TT</t>
  </si>
  <si>
    <t xml:space="preserve">16x6-8</t>
  </si>
  <si>
    <t xml:space="preserve">FL-08</t>
  </si>
  <si>
    <t xml:space="preserve">16PR TT</t>
  </si>
  <si>
    <t xml:space="preserve">https://www.mitas-tires.com/-/media/mitas-tyres/catalogues-leaflets/us/mitas_fl-08_2023_us.pdf?rev=-1</t>
  </si>
  <si>
    <t xml:space="preserve">18x7-8 Mitas FL-08 16PR TT</t>
  </si>
  <si>
    <t xml:space="preserve">18x7-8</t>
  </si>
  <si>
    <t xml:space="preserve">21x8-9 Mitas FL-08 16PR TT</t>
  </si>
  <si>
    <t xml:space="preserve">21x8-9</t>
  </si>
  <si>
    <t xml:space="preserve">23x9-10 Mitas FL-08 20PR TT</t>
  </si>
  <si>
    <t xml:space="preserve">23x9-10</t>
  </si>
  <si>
    <t xml:space="preserve">20PR TT</t>
  </si>
  <si>
    <t xml:space="preserve">250-15 Mitas FL-08 20PR TT</t>
  </si>
  <si>
    <t xml:space="preserve">250-15</t>
  </si>
  <si>
    <t xml:space="preserve">27x10-12 Mitas FL-08 20PR TT</t>
  </si>
  <si>
    <t xml:space="preserve">27x10-12</t>
  </si>
  <si>
    <t xml:space="preserve">4.00-8 Mitas FL-08 8PR TT</t>
  </si>
  <si>
    <t xml:space="preserve">4.00-8</t>
  </si>
  <si>
    <t xml:space="preserve">8PR TT</t>
  </si>
  <si>
    <t xml:space="preserve">5.00-8 Mitas FL-08 10PR TT</t>
  </si>
  <si>
    <t xml:space="preserve">5.00-8</t>
  </si>
  <si>
    <t xml:space="preserve">10PR TT</t>
  </si>
  <si>
    <t xml:space="preserve">6.00-9 Mitas FL-08 12PR TT</t>
  </si>
  <si>
    <t xml:space="preserve">6.00-9</t>
  </si>
  <si>
    <t xml:space="preserve">12PR TT</t>
  </si>
  <si>
    <t xml:space="preserve">6.50-10 Mitas FL-08 14PR TT</t>
  </si>
  <si>
    <t xml:space="preserve">6.50-10</t>
  </si>
  <si>
    <t xml:space="preserve">14PR TT</t>
  </si>
  <si>
    <t xml:space="preserve">7.00-12 Mitas FL-08 16PR TT</t>
  </si>
  <si>
    <t xml:space="preserve">7.00-12</t>
  </si>
  <si>
    <t xml:space="preserve">7.50-15 Mitas FL-08 16PR TT</t>
  </si>
  <si>
    <t xml:space="preserve">7.50-15</t>
  </si>
  <si>
    <t xml:space="preserve">8.25-15 Mitas FL-08 18PR TT</t>
  </si>
  <si>
    <t xml:space="preserve">8.25-15</t>
  </si>
  <si>
    <t xml:space="preserve">380/70R28 Mitas HC 70 127D/130A8 TL demo</t>
  </si>
  <si>
    <t xml:space="preserve">HC 70</t>
  </si>
  <si>
    <t xml:space="preserve">127D/130A8 TL demo</t>
  </si>
  <si>
    <t xml:space="preserve">420/70R28 Mitas HC 70 133D/136A8 TL demo</t>
  </si>
  <si>
    <t xml:space="preserve">420/70R28</t>
  </si>
  <si>
    <t xml:space="preserve">133D/136A8 TL demo</t>
  </si>
  <si>
    <t xml:space="preserve">https://ditopony.pl/certyfikaty/printMitasPressureTable.php?data=WyIxNzk2MiIsNDAwNjM0MTIyMDAwMV0=</t>
  </si>
  <si>
    <t xml:space="preserve">480/70R30 Mitas HC 70 141D/144A8 TL demo</t>
  </si>
  <si>
    <t xml:space="preserve">480/70R30</t>
  </si>
  <si>
    <t xml:space="preserve">141D/144A8 TL demo</t>
  </si>
  <si>
    <t xml:space="preserve">https://www.kock-sohn.de/reifen/70er-serie/48070r30/1634/mitas-480/70r30-hc70-tl-155/152-a8/d</t>
  </si>
  <si>
    <t xml:space="preserve">540/65R30 Mitas HCM 161A8/156D TL demo</t>
  </si>
  <si>
    <t xml:space="preserve">540/65R30</t>
  </si>
  <si>
    <t xml:space="preserve">HCM</t>
  </si>
  <si>
    <t xml:space="preserve">161A8/156D TL demo</t>
  </si>
  <si>
    <t xml:space="preserve">650/65R42 Mitas HCM 176A8/171D TL demo</t>
  </si>
  <si>
    <t xml:space="preserve">650/65R42</t>
  </si>
  <si>
    <t xml:space="preserve">176A8/171D TL demo</t>
  </si>
  <si>
    <t xml:space="preserve">10.0/75-15.3 Mitas IM04 18PR TL</t>
  </si>
  <si>
    <t xml:space="preserve">10.0/75-15.3</t>
  </si>
  <si>
    <t xml:space="preserve">IM04</t>
  </si>
  <si>
    <t xml:space="preserve">18PR TL</t>
  </si>
  <si>
    <t xml:space="preserve">10.0/80-12 Mitas IM04 10PR TL</t>
  </si>
  <si>
    <t xml:space="preserve">10.0/80-12</t>
  </si>
  <si>
    <t xml:space="preserve">10PR TL</t>
  </si>
  <si>
    <t xml:space="preserve">11.5/80-15.3 Mitas IM04 12PR TL</t>
  </si>
  <si>
    <t xml:space="preserve">11.5/80-15.3</t>
  </si>
  <si>
    <t xml:space="preserve">12PR TL</t>
  </si>
  <si>
    <t xml:space="preserve">11.5/80-15.3 Mitas IM04 14PR TL</t>
  </si>
  <si>
    <t xml:space="preserve">14PR TL</t>
  </si>
  <si>
    <t xml:space="preserve">500/50-17 Mitas IM07 14PR TL</t>
  </si>
  <si>
    <t xml:space="preserve">500/50-17</t>
  </si>
  <si>
    <t xml:space="preserve">IM07</t>
  </si>
  <si>
    <t xml:space="preserve">355/60R18 Mitas MPT AR-05 142J TL</t>
  </si>
  <si>
    <t xml:space="preserve">355/60R18</t>
  </si>
  <si>
    <t xml:space="preserve">MPT AR-05</t>
  </si>
  <si>
    <t xml:space="preserve">142J TL</t>
  </si>
  <si>
    <t xml:space="preserve">280/80-18 Mitas MPT-01 140B 16PR TL</t>
  </si>
  <si>
    <t xml:space="preserve">280/80-18</t>
  </si>
  <si>
    <t xml:space="preserve">MPT-01</t>
  </si>
  <si>
    <t xml:space="preserve">140B 16PR TL</t>
  </si>
  <si>
    <t xml:space="preserve">340/80-18 Mitas MPT-04 16PR TL</t>
  </si>
  <si>
    <t xml:space="preserve">340/80-18</t>
  </si>
  <si>
    <t xml:space="preserve">MPT-04</t>
  </si>
  <si>
    <t xml:space="preserve">16PR TL</t>
  </si>
  <si>
    <t xml:space="preserve">405/70-24 Mitas MPT-04 152B 14PR TL</t>
  </si>
  <si>
    <t xml:space="preserve">405/70-24</t>
  </si>
  <si>
    <t xml:space="preserve">152B 14PR TL</t>
  </si>
  <si>
    <t xml:space="preserve">12.5R20 Mitas MPT-21 139J TL</t>
  </si>
  <si>
    <t xml:space="preserve">12.5R20</t>
  </si>
  <si>
    <t xml:space="preserve">MPT-21</t>
  </si>
  <si>
    <t xml:space="preserve">139J TL</t>
  </si>
  <si>
    <t xml:space="preserve">360/85-20 Mitas MPT04 12PR TL</t>
  </si>
  <si>
    <t xml:space="preserve">360/85-20</t>
  </si>
  <si>
    <t xml:space="preserve">MPT04</t>
  </si>
  <si>
    <t xml:space="preserve">360/85-20 Mitas MPT04 IND 14PR TL</t>
  </si>
  <si>
    <t xml:space="preserve">MPT04 IND</t>
  </si>
  <si>
    <t xml:space="preserve">https://www.heuver.com/product/b36085020mt14p0400/360-85-20-mitas-mpt-04-142d-14pr-tl</t>
  </si>
  <si>
    <t xml:space="preserve">400/70-24 Mitas MPT04 IND 151D 14PR TL</t>
  </si>
  <si>
    <t xml:space="preserve">400/70-24</t>
  </si>
  <si>
    <t xml:space="preserve">151D 14PR TL</t>
  </si>
  <si>
    <t xml:space="preserve">480/65-22.5 Mitas MPT06 16PR TL</t>
  </si>
  <si>
    <t xml:space="preserve">480/65-22.5</t>
  </si>
  <si>
    <t xml:space="preserve">MPT06</t>
  </si>
  <si>
    <t xml:space="preserve">https://www.heuver.com/product/b48065225mt16p0600/480-65-22-5-mitas-mpt-06-tl-16pr</t>
  </si>
  <si>
    <t xml:space="preserve">480/65-22.5 Mitas MPT06 IND 16PR TL</t>
  </si>
  <si>
    <t xml:space="preserve">MPT06 IND</t>
  </si>
  <si>
    <t xml:space="preserve">500/85R24 Mitas SFT 171A8/158A8 TL</t>
  </si>
  <si>
    <t xml:space="preserve">500/85R24</t>
  </si>
  <si>
    <t xml:space="preserve">SFT</t>
  </si>
  <si>
    <t xml:space="preserve">171A8/158A8 TL</t>
  </si>
  <si>
    <t xml:space="preserve">600/70R28 Mitas SFT 161D TL</t>
  </si>
  <si>
    <t xml:space="preserve">600/70R28</t>
  </si>
  <si>
    <t xml:space="preserve">161D TL</t>
  </si>
  <si>
    <t xml:space="preserve">27x10.50-15 Mitas SK-02 8PR TL</t>
  </si>
  <si>
    <t xml:space="preserve">27x10.50-15</t>
  </si>
  <si>
    <t xml:space="preserve">SK-02</t>
  </si>
  <si>
    <t xml:space="preserve">8PR TL</t>
  </si>
  <si>
    <t xml:space="preserve">https://www.e-agropneu.cz/bazar/27x10-5-15-tl-mitas-sk-02-8pr-120a2-k12267.htm</t>
  </si>
  <si>
    <t xml:space="preserve">600/65R38 Mitas SST 153D/156A8 TL</t>
  </si>
  <si>
    <t xml:space="preserve">SST</t>
  </si>
  <si>
    <t xml:space="preserve">650/65R38 Mitas SST 157D/160A8 TL demo</t>
  </si>
  <si>
    <t xml:space="preserve">157D/160A8 TL demo</t>
  </si>
  <si>
    <t xml:space="preserve">12.4-24 Mitas TD19 12PR TL</t>
  </si>
  <si>
    <t xml:space="preserve">12.4-24</t>
  </si>
  <si>
    <t xml:space="preserve">TD19</t>
  </si>
  <si>
    <t xml:space="preserve">12.4-24 Mitas TD19 8PR TT</t>
  </si>
  <si>
    <t xml:space="preserve">6.00-16 Mitas TF03 6PR TT</t>
  </si>
  <si>
    <t xml:space="preserve">6.00-16</t>
  </si>
  <si>
    <t xml:space="preserve">TF03</t>
  </si>
  <si>
    <t xml:space="preserve">7.50-16 Mitas TF03 8PR TT</t>
  </si>
  <si>
    <t xml:space="preserve">7.50-16</t>
  </si>
  <si>
    <t xml:space="preserve">400/80-24 Mitas TI 05 162A8 TL demo</t>
  </si>
  <si>
    <t xml:space="preserve">400/80-24</t>
  </si>
  <si>
    <t xml:space="preserve">TI</t>
  </si>
  <si>
    <t xml:space="preserve">05 162A8 TL demo</t>
  </si>
  <si>
    <t xml:space="preserve">https://www.atpmotor.cz/images/stories/Ceniky/MITAS.pdf [dopasowano 'TI (TI-05)']</t>
  </si>
  <si>
    <t xml:space="preserve">440/80-30 Mitas TI09 14PR TL</t>
  </si>
  <si>
    <t xml:space="preserve">440/80-30</t>
  </si>
  <si>
    <t xml:space="preserve">TI09</t>
  </si>
  <si>
    <t xml:space="preserve">15.0/55-17 Mitas TR01 10PR TL</t>
  </si>
  <si>
    <t xml:space="preserve">15.0/55-17</t>
  </si>
  <si>
    <t xml:space="preserve">TR01</t>
  </si>
  <si>
    <t xml:space="preserve">11.5/80-15.3 Mitas TR03 14PR TL</t>
  </si>
  <si>
    <t xml:space="preserve">TR03</t>
  </si>
  <si>
    <t xml:space="preserve">12.5/80-18 Mitas TR09 IND 12PR TL</t>
  </si>
  <si>
    <t xml:space="preserve">12.5/80-18</t>
  </si>
  <si>
    <t xml:space="preserve">TR09</t>
  </si>
  <si>
    <t xml:space="preserve">IND 12PR TL</t>
  </si>
  <si>
    <t xml:space="preserve">80-12 Mitas TS-06 6PR TT</t>
  </si>
  <si>
    <t xml:space="preserve">TS-06</t>
  </si>
  <si>
    <t xml:space="preserve">5.00-12 Mitas TS02 6PR TT</t>
  </si>
  <si>
    <t xml:space="preserve">5.00-12</t>
  </si>
  <si>
    <t xml:space="preserve">TS02</t>
  </si>
  <si>
    <t xml:space="preserve">11.5/80-15.3 Mitas TS05 14PR TL</t>
  </si>
  <si>
    <t xml:space="preserve">TS05</t>
  </si>
  <si>
    <t xml:space="preserve">Wypełnione</t>
  </si>
  <si>
    <t xml:space="preserve">Wszystkie</t>
  </si>
  <si>
    <t xml:space="preserve">% pokrycia</t>
  </si>
  <si>
    <t xml:space="preserve">RAZEM</t>
  </si>
  <si>
    <t xml:space="preserve">Mitas - wagi opon</t>
  </si>
  <si>
    <t xml:space="preserve">Data przygotowania: 2026-07-14</t>
  </si>
  <si>
    <t xml:space="preserve">Liczba pozycji: 87</t>
  </si>
  <si>
    <t xml:space="preserve">Wypełnione wagi: 70 (80.5%)</t>
  </si>
  <si>
    <t xml:space="preserve">Braki: 17</t>
  </si>
  <si>
    <t xml:space="preserve">Metodologia:</t>
  </si>
  <si>
    <t xml:space="preserve">- Klasyfikacja 87 pozycji Mitas na 44 serii</t>
  </si>
  <si>
    <t xml:space="preserve">- Zbieranie wag przez subagentów - priorytet oficjalnych PDF i dystrybutorów</t>
  </si>
  <si>
    <t xml:space="preserve">- Weryfikacja: waga = MASA opony (Net weight/Nettogewicht), nie nośność</t>
  </si>
  <si>
    <t xml:space="preserve">- Konwersja funtów: kg = lbs / 2.20462</t>
  </si>
  <si>
    <t xml:space="preserve">Źródła:</t>
  </si>
  <si>
    <t xml:space="preserve">1. Oficjalne PDF Mitas (mitas-tyres.com)</t>
  </si>
  <si>
    <t xml:space="preserve">2. bohnenkamp.de / .at / .ch</t>
  </si>
  <si>
    <t xml:space="preserve">3. heuver.com</t>
  </si>
  <si>
    <t xml:space="preserve">4. e-agropneu.cz</t>
  </si>
  <si>
    <t xml:space="preserve">Pokrycie per grupa:</t>
  </si>
  <si>
    <t xml:space="preserve">- rolnicze radialne (AC 65/70/85)</t>
  </si>
  <si>
    <t xml:space="preserve">- diagonalne (TR-01/TS)</t>
  </si>
  <si>
    <t xml:space="preserve">Uwagi:</t>
  </si>
  <si>
    <t xml:space="preserve">- Mitas i Continental Agriculture (przejęte przez Yokohama)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</si>
</sst>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2"/>
      <color rgb="FF01696F"/>
      <name val="Calibri"/>
      <family val="0"/>
      <charset val="1"/>
    </font>
    <font>
      <sz val="11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1696F"/>
        <bgColor rgb="FF008080"/>
      </patternFill>
    </fill>
    <fill>
      <patternFill patternType="solid">
        <fgColor rgb="FFF1F8E9"/>
        <bgColor rgb="FFE0F2F1"/>
      </patternFill>
    </fill>
    <fill>
      <patternFill patternType="solid">
        <fgColor rgb="FFFBE9E7"/>
        <bgColor rgb="FFF1F8E9"/>
      </patternFill>
    </fill>
    <fill>
      <patternFill patternType="solid">
        <fgColor rgb="FFE0F2F1"/>
        <bgColor rgb="FFF1F8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D4D1CA"/>
      <rgbColor rgb="FF808080"/>
      <rgbColor rgb="FF9999FF"/>
      <rgbColor rgb="FF993366"/>
      <rgbColor rgb="FFF1F8E9"/>
      <rgbColor rgb="FFE0F2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70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80"/>
  </cols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customFormat="false" ht="15" hidden="false" customHeight="false" outlineLevel="0" collapsed="false">
      <c r="B3" s="2" t="n">
        <v>1</v>
      </c>
      <c r="C3" s="3" t="s">
        <v>7</v>
      </c>
      <c r="D3" s="2" t="s">
        <v>8</v>
      </c>
      <c r="E3" s="3" t="s">
        <v>9</v>
      </c>
      <c r="F3" s="3" t="s">
        <v>10</v>
      </c>
      <c r="G3" s="4" t="n">
        <v>75</v>
      </c>
      <c r="H3" s="3" t="s">
        <v>11</v>
      </c>
    </row>
    <row r="4" customFormat="false" ht="15" hidden="false" customHeight="false" outlineLevel="0" collapsed="false">
      <c r="B4" s="2" t="n">
        <v>2</v>
      </c>
      <c r="C4" s="3" t="s">
        <v>12</v>
      </c>
      <c r="D4" s="2" t="s">
        <v>8</v>
      </c>
      <c r="E4" s="3" t="s">
        <v>9</v>
      </c>
      <c r="F4" s="3" t="s">
        <v>13</v>
      </c>
      <c r="G4" s="4" t="n">
        <v>75</v>
      </c>
      <c r="H4" s="3" t="s">
        <v>11</v>
      </c>
    </row>
    <row r="5" customFormat="false" ht="15" hidden="false" customHeight="false" outlineLevel="0" collapsed="false">
      <c r="B5" s="2" t="n">
        <v>3</v>
      </c>
      <c r="C5" s="3" t="s">
        <v>14</v>
      </c>
      <c r="D5" s="2" t="s">
        <v>15</v>
      </c>
      <c r="E5" s="3" t="s">
        <v>9</v>
      </c>
      <c r="F5" s="3" t="s">
        <v>16</v>
      </c>
      <c r="G5" s="4" t="n">
        <v>92.9</v>
      </c>
      <c r="H5" s="3" t="s">
        <v>17</v>
      </c>
    </row>
    <row r="6" customFormat="false" ht="15" hidden="false" customHeight="false" outlineLevel="0" collapsed="false">
      <c r="B6" s="2" t="n">
        <v>4</v>
      </c>
      <c r="C6" s="3" t="s">
        <v>18</v>
      </c>
      <c r="D6" s="2" t="s">
        <v>19</v>
      </c>
      <c r="E6" s="3" t="s">
        <v>9</v>
      </c>
      <c r="F6" s="3" t="s">
        <v>20</v>
      </c>
      <c r="G6" s="4" t="n">
        <v>111.3</v>
      </c>
      <c r="H6" s="3" t="s">
        <v>21</v>
      </c>
    </row>
    <row r="7" customFormat="false" ht="15" hidden="false" customHeight="false" outlineLevel="0" collapsed="false">
      <c r="B7" s="2" t="n">
        <v>5</v>
      </c>
      <c r="C7" s="3" t="s">
        <v>22</v>
      </c>
      <c r="D7" s="2" t="s">
        <v>23</v>
      </c>
      <c r="E7" s="3" t="s">
        <v>9</v>
      </c>
      <c r="F7" s="3" t="s">
        <v>24</v>
      </c>
      <c r="G7" s="4" t="n">
        <v>126.4</v>
      </c>
      <c r="H7" s="3" t="s">
        <v>25</v>
      </c>
    </row>
    <row r="8" customFormat="false" ht="15" hidden="false" customHeight="false" outlineLevel="0" collapsed="false">
      <c r="B8" s="2" t="n">
        <v>6</v>
      </c>
      <c r="C8" s="3" t="s">
        <v>26</v>
      </c>
      <c r="D8" s="2" t="s">
        <v>27</v>
      </c>
      <c r="E8" s="3" t="s">
        <v>9</v>
      </c>
      <c r="F8" s="3" t="s">
        <v>28</v>
      </c>
      <c r="G8" s="4" t="n">
        <v>136.8</v>
      </c>
      <c r="H8" s="3" t="s">
        <v>29</v>
      </c>
    </row>
    <row r="9" customFormat="false" ht="15" hidden="false" customHeight="false" outlineLevel="0" collapsed="false">
      <c r="B9" s="2" t="n">
        <v>7</v>
      </c>
      <c r="C9" s="3" t="s">
        <v>30</v>
      </c>
      <c r="D9" s="2" t="s">
        <v>31</v>
      </c>
      <c r="E9" s="3" t="s">
        <v>9</v>
      </c>
      <c r="F9" s="3" t="s">
        <v>32</v>
      </c>
      <c r="G9" s="4" t="n">
        <v>168.5</v>
      </c>
      <c r="H9" s="3" t="s">
        <v>33</v>
      </c>
    </row>
    <row r="10" customFormat="false" ht="15" hidden="false" customHeight="false" outlineLevel="0" collapsed="false">
      <c r="B10" s="2" t="n">
        <v>8</v>
      </c>
      <c r="C10" s="3" t="s">
        <v>34</v>
      </c>
      <c r="D10" s="2" t="s">
        <v>35</v>
      </c>
      <c r="E10" s="3" t="s">
        <v>9</v>
      </c>
      <c r="F10" s="3" t="s">
        <v>36</v>
      </c>
      <c r="G10" s="4" t="n">
        <v>191.5</v>
      </c>
      <c r="H10" s="3" t="s">
        <v>37</v>
      </c>
    </row>
    <row r="11" customFormat="false" ht="15" hidden="false" customHeight="false" outlineLevel="0" collapsed="false">
      <c r="B11" s="5" t="n">
        <v>9</v>
      </c>
      <c r="C11" s="6" t="s">
        <v>38</v>
      </c>
      <c r="D11" s="5" t="s">
        <v>39</v>
      </c>
      <c r="E11" s="6" t="s">
        <v>40</v>
      </c>
      <c r="F11" s="6" t="s">
        <v>41</v>
      </c>
      <c r="G11" s="7"/>
      <c r="H11" s="6"/>
    </row>
    <row r="12" customFormat="false" ht="15" hidden="false" customHeight="false" outlineLevel="0" collapsed="false">
      <c r="B12" s="5" t="n">
        <v>10</v>
      </c>
      <c r="C12" s="6" t="s">
        <v>42</v>
      </c>
      <c r="D12" s="5" t="s">
        <v>43</v>
      </c>
      <c r="E12" s="6" t="s">
        <v>44</v>
      </c>
      <c r="F12" s="6" t="s">
        <v>45</v>
      </c>
      <c r="G12" s="7"/>
      <c r="H12" s="6"/>
    </row>
    <row r="13" customFormat="false" ht="15" hidden="false" customHeight="false" outlineLevel="0" collapsed="false">
      <c r="B13" s="5" t="n">
        <v>11</v>
      </c>
      <c r="C13" s="6" t="s">
        <v>46</v>
      </c>
      <c r="D13" s="5" t="s">
        <v>47</v>
      </c>
      <c r="E13" s="6" t="s">
        <v>44</v>
      </c>
      <c r="F13" s="6" t="s">
        <v>48</v>
      </c>
      <c r="G13" s="7"/>
      <c r="H13" s="6"/>
    </row>
    <row r="14" customFormat="false" ht="15" hidden="false" customHeight="false" outlineLevel="0" collapsed="false">
      <c r="B14" s="5" t="n">
        <v>12</v>
      </c>
      <c r="C14" s="6" t="s">
        <v>49</v>
      </c>
      <c r="D14" s="5" t="s">
        <v>50</v>
      </c>
      <c r="E14" s="6" t="s">
        <v>44</v>
      </c>
      <c r="F14" s="6" t="s">
        <v>51</v>
      </c>
      <c r="G14" s="7"/>
      <c r="H14" s="6"/>
    </row>
    <row r="15" customFormat="false" ht="15" hidden="false" customHeight="false" outlineLevel="0" collapsed="false">
      <c r="B15" s="2" t="n">
        <v>13</v>
      </c>
      <c r="C15" s="3" t="s">
        <v>52</v>
      </c>
      <c r="D15" s="2" t="s">
        <v>53</v>
      </c>
      <c r="E15" s="3" t="s">
        <v>44</v>
      </c>
      <c r="F15" s="3" t="s">
        <v>54</v>
      </c>
      <c r="G15" s="4" t="n">
        <v>122</v>
      </c>
      <c r="H15" s="3" t="s">
        <v>55</v>
      </c>
    </row>
    <row r="16" customFormat="false" ht="15" hidden="false" customHeight="false" outlineLevel="0" collapsed="false">
      <c r="B16" s="5" t="n">
        <v>14</v>
      </c>
      <c r="C16" s="6" t="s">
        <v>56</v>
      </c>
      <c r="D16" s="5" t="s">
        <v>57</v>
      </c>
      <c r="E16" s="6" t="s">
        <v>44</v>
      </c>
      <c r="F16" s="6" t="s">
        <v>58</v>
      </c>
      <c r="G16" s="7"/>
      <c r="H16" s="6"/>
    </row>
    <row r="17" customFormat="false" ht="15" hidden="false" customHeight="false" outlineLevel="0" collapsed="false">
      <c r="B17" s="2" t="n">
        <v>15</v>
      </c>
      <c r="C17" s="3" t="s">
        <v>59</v>
      </c>
      <c r="D17" s="2" t="s">
        <v>60</v>
      </c>
      <c r="E17" s="3" t="s">
        <v>61</v>
      </c>
      <c r="F17" s="3" t="s">
        <v>62</v>
      </c>
      <c r="G17" s="4" t="n">
        <v>45</v>
      </c>
      <c r="H17" s="3" t="s">
        <v>63</v>
      </c>
    </row>
    <row r="18" customFormat="false" ht="15" hidden="false" customHeight="false" outlineLevel="0" collapsed="false">
      <c r="B18" s="2" t="n">
        <v>16</v>
      </c>
      <c r="C18" s="3" t="s">
        <v>64</v>
      </c>
      <c r="D18" s="2" t="s">
        <v>65</v>
      </c>
      <c r="E18" s="3" t="s">
        <v>61</v>
      </c>
      <c r="F18" s="3" t="s">
        <v>66</v>
      </c>
      <c r="G18" s="4" t="n">
        <v>73.7</v>
      </c>
      <c r="H18" s="3" t="s">
        <v>67</v>
      </c>
    </row>
    <row r="19" customFormat="false" ht="15" hidden="false" customHeight="false" outlineLevel="0" collapsed="false">
      <c r="B19" s="5" t="n">
        <v>17</v>
      </c>
      <c r="C19" s="6" t="s">
        <v>68</v>
      </c>
      <c r="D19" s="5" t="s">
        <v>69</v>
      </c>
      <c r="E19" s="6" t="s">
        <v>70</v>
      </c>
      <c r="F19" s="6" t="s">
        <v>71</v>
      </c>
      <c r="G19" s="7"/>
      <c r="H19" s="6"/>
    </row>
    <row r="20" customFormat="false" ht="15" hidden="false" customHeight="false" outlineLevel="0" collapsed="false">
      <c r="B20" s="2" t="n">
        <v>18</v>
      </c>
      <c r="C20" s="3" t="s">
        <v>72</v>
      </c>
      <c r="D20" s="2" t="s">
        <v>73</v>
      </c>
      <c r="E20" s="3" t="s">
        <v>74</v>
      </c>
      <c r="F20" s="3" t="s">
        <v>75</v>
      </c>
      <c r="G20" s="4" t="n">
        <v>262.5</v>
      </c>
      <c r="H20" s="3" t="s">
        <v>76</v>
      </c>
    </row>
    <row r="21" customFormat="false" ht="15" hidden="false" customHeight="false" outlineLevel="0" collapsed="false">
      <c r="B21" s="2" t="n">
        <v>19</v>
      </c>
      <c r="C21" s="3" t="s">
        <v>72</v>
      </c>
      <c r="D21" s="2" t="s">
        <v>73</v>
      </c>
      <c r="E21" s="3" t="s">
        <v>74</v>
      </c>
      <c r="F21" s="3" t="s">
        <v>75</v>
      </c>
      <c r="G21" s="4" t="n">
        <v>262.5</v>
      </c>
      <c r="H21" s="3" t="s">
        <v>76</v>
      </c>
    </row>
    <row r="22" customFormat="false" ht="15" hidden="false" customHeight="false" outlineLevel="0" collapsed="false">
      <c r="B22" s="5" t="n">
        <v>20</v>
      </c>
      <c r="C22" s="6" t="s">
        <v>77</v>
      </c>
      <c r="D22" s="5" t="s">
        <v>78</v>
      </c>
      <c r="E22" s="6" t="s">
        <v>79</v>
      </c>
      <c r="F22" s="6" t="s">
        <v>80</v>
      </c>
      <c r="G22" s="7"/>
      <c r="H22" s="6"/>
    </row>
    <row r="23" customFormat="false" ht="15" hidden="false" customHeight="false" outlineLevel="0" collapsed="false">
      <c r="B23" s="5" t="n">
        <v>21</v>
      </c>
      <c r="C23" s="6" t="s">
        <v>81</v>
      </c>
      <c r="D23" s="5" t="s">
        <v>82</v>
      </c>
      <c r="E23" s="6" t="s">
        <v>79</v>
      </c>
      <c r="F23" s="6" t="s">
        <v>83</v>
      </c>
      <c r="G23" s="7"/>
      <c r="H23" s="6"/>
    </row>
    <row r="24" customFormat="false" ht="15" hidden="false" customHeight="false" outlineLevel="0" collapsed="false">
      <c r="B24" s="2" t="n">
        <v>22</v>
      </c>
      <c r="C24" s="3" t="s">
        <v>84</v>
      </c>
      <c r="D24" s="2" t="s">
        <v>85</v>
      </c>
      <c r="E24" s="3" t="s">
        <v>79</v>
      </c>
      <c r="F24" s="3" t="s">
        <v>86</v>
      </c>
      <c r="G24" s="4" t="n">
        <v>105.64</v>
      </c>
      <c r="H24" s="3" t="s">
        <v>87</v>
      </c>
    </row>
    <row r="25" customFormat="false" ht="15" hidden="false" customHeight="false" outlineLevel="0" collapsed="false">
      <c r="B25" s="2" t="n">
        <v>23</v>
      </c>
      <c r="C25" s="3" t="s">
        <v>88</v>
      </c>
      <c r="D25" s="2" t="s">
        <v>89</v>
      </c>
      <c r="E25" s="3" t="s">
        <v>90</v>
      </c>
      <c r="F25" s="3" t="s">
        <v>91</v>
      </c>
      <c r="G25" s="4" t="n">
        <v>64</v>
      </c>
      <c r="H25" s="3" t="s">
        <v>92</v>
      </c>
    </row>
    <row r="26" customFormat="false" ht="15" hidden="false" customHeight="false" outlineLevel="0" collapsed="false">
      <c r="B26" s="5" t="n">
        <v>24</v>
      </c>
      <c r="C26" s="6" t="s">
        <v>93</v>
      </c>
      <c r="D26" s="5" t="s">
        <v>39</v>
      </c>
      <c r="E26" s="6" t="s">
        <v>90</v>
      </c>
      <c r="F26" s="6" t="s">
        <v>94</v>
      </c>
      <c r="G26" s="7"/>
      <c r="H26" s="6"/>
    </row>
    <row r="27" customFormat="false" ht="15" hidden="false" customHeight="false" outlineLevel="0" collapsed="false">
      <c r="B27" s="5" t="n">
        <v>25</v>
      </c>
      <c r="C27" s="6" t="s">
        <v>95</v>
      </c>
      <c r="D27" s="5" t="s">
        <v>96</v>
      </c>
      <c r="E27" s="6" t="s">
        <v>97</v>
      </c>
      <c r="F27" s="6" t="s">
        <v>98</v>
      </c>
      <c r="G27" s="7"/>
      <c r="H27" s="6"/>
    </row>
    <row r="28" customFormat="false" ht="15" hidden="false" customHeight="false" outlineLevel="0" collapsed="false">
      <c r="B28" s="5" t="n">
        <v>26</v>
      </c>
      <c r="C28" s="6" t="s">
        <v>99</v>
      </c>
      <c r="D28" s="5" t="s">
        <v>100</v>
      </c>
      <c r="E28" s="6" t="s">
        <v>101</v>
      </c>
      <c r="F28" s="6" t="s">
        <v>102</v>
      </c>
      <c r="G28" s="7"/>
      <c r="H28" s="6"/>
    </row>
    <row r="29" customFormat="false" ht="15" hidden="false" customHeight="false" outlineLevel="0" collapsed="false">
      <c r="B29" s="2" t="n">
        <v>27</v>
      </c>
      <c r="C29" s="3" t="s">
        <v>103</v>
      </c>
      <c r="D29" s="2" t="s">
        <v>104</v>
      </c>
      <c r="E29" s="3" t="s">
        <v>101</v>
      </c>
      <c r="F29" s="3" t="s">
        <v>66</v>
      </c>
      <c r="G29" s="4" t="n">
        <v>75.09</v>
      </c>
      <c r="H29" s="3" t="s">
        <v>105</v>
      </c>
    </row>
    <row r="30" customFormat="false" ht="15" hidden="false" customHeight="false" outlineLevel="0" collapsed="false">
      <c r="B30" s="2" t="n">
        <v>28</v>
      </c>
      <c r="C30" s="3" t="s">
        <v>106</v>
      </c>
      <c r="D30" s="2" t="s">
        <v>107</v>
      </c>
      <c r="E30" s="3" t="s">
        <v>101</v>
      </c>
      <c r="F30" s="3" t="s">
        <v>108</v>
      </c>
      <c r="G30" s="4" t="n">
        <v>49.8</v>
      </c>
      <c r="H30" s="3" t="s">
        <v>109</v>
      </c>
    </row>
    <row r="31" customFormat="false" ht="15" hidden="false" customHeight="false" outlineLevel="0" collapsed="false">
      <c r="B31" s="2" t="n">
        <v>29</v>
      </c>
      <c r="C31" s="3" t="s">
        <v>110</v>
      </c>
      <c r="D31" s="2" t="s">
        <v>111</v>
      </c>
      <c r="E31" s="3" t="s">
        <v>112</v>
      </c>
      <c r="F31" s="3" t="s">
        <v>113</v>
      </c>
      <c r="G31" s="4" t="n">
        <v>169.2</v>
      </c>
      <c r="H31" s="3" t="s">
        <v>114</v>
      </c>
    </row>
    <row r="32" customFormat="false" ht="15" hidden="false" customHeight="false" outlineLevel="0" collapsed="false">
      <c r="B32" s="2" t="n">
        <v>30</v>
      </c>
      <c r="C32" s="3" t="s">
        <v>115</v>
      </c>
      <c r="D32" s="2" t="s">
        <v>116</v>
      </c>
      <c r="E32" s="3" t="s">
        <v>117</v>
      </c>
      <c r="F32" s="3" t="s">
        <v>118</v>
      </c>
      <c r="G32" s="4" t="n">
        <v>1.88</v>
      </c>
      <c r="H32" s="3" t="s">
        <v>119</v>
      </c>
    </row>
    <row r="33" customFormat="false" ht="15" hidden="false" customHeight="false" outlineLevel="0" collapsed="false">
      <c r="B33" s="5" t="n">
        <v>31</v>
      </c>
      <c r="C33" s="6" t="s">
        <v>120</v>
      </c>
      <c r="D33" s="5" t="s">
        <v>121</v>
      </c>
      <c r="E33" s="6" t="s">
        <v>122</v>
      </c>
      <c r="F33" s="6" t="s">
        <v>123</v>
      </c>
      <c r="G33" s="7"/>
      <c r="H33" s="6"/>
    </row>
    <row r="34" customFormat="false" ht="15" hidden="false" customHeight="false" outlineLevel="0" collapsed="false">
      <c r="B34" s="5" t="n">
        <v>32</v>
      </c>
      <c r="C34" s="6" t="s">
        <v>124</v>
      </c>
      <c r="D34" s="5" t="s">
        <v>125</v>
      </c>
      <c r="E34" s="6" t="s">
        <v>126</v>
      </c>
      <c r="F34" s="6" t="s">
        <v>123</v>
      </c>
      <c r="G34" s="7"/>
      <c r="H34" s="6"/>
    </row>
    <row r="35" customFormat="false" ht="15" hidden="false" customHeight="false" outlineLevel="0" collapsed="false">
      <c r="B35" s="2" t="n">
        <v>33</v>
      </c>
      <c r="C35" s="3" t="s">
        <v>127</v>
      </c>
      <c r="D35" s="2" t="s">
        <v>128</v>
      </c>
      <c r="E35" s="3" t="s">
        <v>129</v>
      </c>
      <c r="F35" s="3" t="s">
        <v>130</v>
      </c>
      <c r="G35" s="4" t="n">
        <v>30.1</v>
      </c>
      <c r="H35" s="3" t="s">
        <v>131</v>
      </c>
    </row>
    <row r="36" customFormat="false" ht="15" hidden="false" customHeight="false" outlineLevel="0" collapsed="false">
      <c r="B36" s="2" t="n">
        <v>34</v>
      </c>
      <c r="C36" s="3" t="s">
        <v>132</v>
      </c>
      <c r="D36" s="2" t="s">
        <v>133</v>
      </c>
      <c r="E36" s="3" t="s">
        <v>134</v>
      </c>
      <c r="F36" s="3" t="s">
        <v>135</v>
      </c>
      <c r="G36" s="4" t="n">
        <v>68.4</v>
      </c>
      <c r="H36" s="3" t="s">
        <v>119</v>
      </c>
    </row>
    <row r="37" customFormat="false" ht="15" hidden="false" customHeight="false" outlineLevel="0" collapsed="false">
      <c r="B37" s="5" t="n">
        <v>35</v>
      </c>
      <c r="C37" s="6" t="s">
        <v>136</v>
      </c>
      <c r="D37" s="5" t="s">
        <v>137</v>
      </c>
      <c r="E37" s="6" t="s">
        <v>138</v>
      </c>
      <c r="F37" s="6" t="s">
        <v>139</v>
      </c>
      <c r="G37" s="7"/>
      <c r="H37" s="6"/>
    </row>
    <row r="38" customFormat="false" ht="15" hidden="false" customHeight="false" outlineLevel="0" collapsed="false">
      <c r="B38" s="2" t="n">
        <v>36</v>
      </c>
      <c r="C38" s="3" t="s">
        <v>140</v>
      </c>
      <c r="D38" s="2" t="s">
        <v>141</v>
      </c>
      <c r="E38" s="3" t="s">
        <v>142</v>
      </c>
      <c r="F38" s="3" t="s">
        <v>143</v>
      </c>
      <c r="G38" s="4" t="n">
        <v>45.8</v>
      </c>
      <c r="H38" s="3" t="s">
        <v>119</v>
      </c>
    </row>
    <row r="39" customFormat="false" ht="15" hidden="false" customHeight="false" outlineLevel="0" collapsed="false">
      <c r="B39" s="2" t="n">
        <v>37</v>
      </c>
      <c r="C39" s="3" t="s">
        <v>144</v>
      </c>
      <c r="D39" s="2" t="s">
        <v>145</v>
      </c>
      <c r="E39" s="3" t="s">
        <v>146</v>
      </c>
      <c r="F39" s="3" t="s">
        <v>147</v>
      </c>
      <c r="G39" s="4" t="n">
        <v>5.44</v>
      </c>
      <c r="H39" s="3" t="s">
        <v>148</v>
      </c>
    </row>
    <row r="40" customFormat="false" ht="15" hidden="false" customHeight="false" outlineLevel="0" collapsed="false">
      <c r="B40" s="2" t="n">
        <v>38</v>
      </c>
      <c r="C40" s="3" t="s">
        <v>149</v>
      </c>
      <c r="D40" s="2" t="s">
        <v>150</v>
      </c>
      <c r="E40" s="3" t="s">
        <v>146</v>
      </c>
      <c r="F40" s="3" t="s">
        <v>147</v>
      </c>
      <c r="G40" s="4" t="n">
        <v>8.16</v>
      </c>
      <c r="H40" s="3" t="s">
        <v>148</v>
      </c>
    </row>
    <row r="41" customFormat="false" ht="15" hidden="false" customHeight="false" outlineLevel="0" collapsed="false">
      <c r="B41" s="2" t="n">
        <v>39</v>
      </c>
      <c r="C41" s="3" t="s">
        <v>151</v>
      </c>
      <c r="D41" s="2" t="s">
        <v>152</v>
      </c>
      <c r="E41" s="3" t="s">
        <v>146</v>
      </c>
      <c r="F41" s="3" t="s">
        <v>147</v>
      </c>
      <c r="G41" s="4" t="n">
        <v>12.25</v>
      </c>
      <c r="H41" s="3" t="s">
        <v>148</v>
      </c>
    </row>
    <row r="42" customFormat="false" ht="15" hidden="false" customHeight="false" outlineLevel="0" collapsed="false">
      <c r="B42" s="2" t="n">
        <v>40</v>
      </c>
      <c r="C42" s="3" t="s">
        <v>153</v>
      </c>
      <c r="D42" s="2" t="s">
        <v>154</v>
      </c>
      <c r="E42" s="3" t="s">
        <v>146</v>
      </c>
      <c r="F42" s="3" t="s">
        <v>155</v>
      </c>
      <c r="G42" s="4" t="n">
        <v>14.97</v>
      </c>
      <c r="H42" s="3" t="s">
        <v>148</v>
      </c>
    </row>
    <row r="43" customFormat="false" ht="15" hidden="false" customHeight="false" outlineLevel="0" collapsed="false">
      <c r="B43" s="2" t="n">
        <v>41</v>
      </c>
      <c r="C43" s="3" t="s">
        <v>156</v>
      </c>
      <c r="D43" s="2" t="s">
        <v>157</v>
      </c>
      <c r="E43" s="3" t="s">
        <v>146</v>
      </c>
      <c r="F43" s="3" t="s">
        <v>155</v>
      </c>
      <c r="G43" s="4" t="n">
        <v>24.95</v>
      </c>
      <c r="H43" s="3" t="s">
        <v>148</v>
      </c>
    </row>
    <row r="44" customFormat="false" ht="15" hidden="false" customHeight="false" outlineLevel="0" collapsed="false">
      <c r="B44" s="2" t="n">
        <v>42</v>
      </c>
      <c r="C44" s="3" t="s">
        <v>158</v>
      </c>
      <c r="D44" s="2" t="s">
        <v>159</v>
      </c>
      <c r="E44" s="3" t="s">
        <v>146</v>
      </c>
      <c r="F44" s="3" t="s">
        <v>155</v>
      </c>
      <c r="G44" s="4" t="n">
        <v>21.77</v>
      </c>
      <c r="H44" s="3" t="s">
        <v>148</v>
      </c>
    </row>
    <row r="45" customFormat="false" ht="15" hidden="false" customHeight="false" outlineLevel="0" collapsed="false">
      <c r="B45" s="2" t="n">
        <v>43</v>
      </c>
      <c r="C45" s="3" t="s">
        <v>160</v>
      </c>
      <c r="D45" s="2" t="s">
        <v>161</v>
      </c>
      <c r="E45" s="3" t="s">
        <v>146</v>
      </c>
      <c r="F45" s="3" t="s">
        <v>162</v>
      </c>
      <c r="G45" s="4" t="n">
        <v>4.54</v>
      </c>
      <c r="H45" s="3" t="s">
        <v>148</v>
      </c>
    </row>
    <row r="46" customFormat="false" ht="15" hidden="false" customHeight="false" outlineLevel="0" collapsed="false">
      <c r="B46" s="2" t="n">
        <v>44</v>
      </c>
      <c r="C46" s="3" t="s">
        <v>163</v>
      </c>
      <c r="D46" s="2" t="s">
        <v>164</v>
      </c>
      <c r="E46" s="3" t="s">
        <v>146</v>
      </c>
      <c r="F46" s="3" t="s">
        <v>165</v>
      </c>
      <c r="G46" s="4" t="n">
        <v>5.44</v>
      </c>
      <c r="H46" s="3" t="s">
        <v>148</v>
      </c>
    </row>
    <row r="47" customFormat="false" ht="15" hidden="false" customHeight="false" outlineLevel="0" collapsed="false">
      <c r="B47" s="2" t="n">
        <v>45</v>
      </c>
      <c r="C47" s="3" t="s">
        <v>166</v>
      </c>
      <c r="D47" s="2" t="s">
        <v>167</v>
      </c>
      <c r="E47" s="3" t="s">
        <v>146</v>
      </c>
      <c r="F47" s="3" t="s">
        <v>168</v>
      </c>
      <c r="G47" s="4" t="n">
        <v>8.16</v>
      </c>
      <c r="H47" s="3" t="s">
        <v>148</v>
      </c>
    </row>
    <row r="48" customFormat="false" ht="15" hidden="false" customHeight="false" outlineLevel="0" collapsed="false">
      <c r="B48" s="2" t="n">
        <v>46</v>
      </c>
      <c r="C48" s="3" t="s">
        <v>169</v>
      </c>
      <c r="D48" s="2" t="s">
        <v>170</v>
      </c>
      <c r="E48" s="3" t="s">
        <v>146</v>
      </c>
      <c r="F48" s="3" t="s">
        <v>171</v>
      </c>
      <c r="G48" s="4" t="n">
        <v>10.43</v>
      </c>
      <c r="H48" s="3" t="s">
        <v>148</v>
      </c>
    </row>
    <row r="49" customFormat="false" ht="15" hidden="false" customHeight="false" outlineLevel="0" collapsed="false">
      <c r="B49" s="2" t="n">
        <v>47</v>
      </c>
      <c r="C49" s="3" t="s">
        <v>172</v>
      </c>
      <c r="D49" s="2" t="s">
        <v>173</v>
      </c>
      <c r="E49" s="3" t="s">
        <v>146</v>
      </c>
      <c r="F49" s="3" t="s">
        <v>147</v>
      </c>
      <c r="G49" s="4" t="n">
        <v>18.6</v>
      </c>
      <c r="H49" s="3" t="s">
        <v>148</v>
      </c>
    </row>
    <row r="50" customFormat="false" ht="15" hidden="false" customHeight="false" outlineLevel="0" collapsed="false">
      <c r="B50" s="2" t="n">
        <v>48</v>
      </c>
      <c r="C50" s="3" t="s">
        <v>174</v>
      </c>
      <c r="D50" s="2" t="s">
        <v>175</v>
      </c>
      <c r="E50" s="3" t="s">
        <v>146</v>
      </c>
      <c r="F50" s="3" t="s">
        <v>147</v>
      </c>
      <c r="G50" s="4" t="n">
        <v>24.95</v>
      </c>
      <c r="H50" s="3" t="s">
        <v>148</v>
      </c>
    </row>
    <row r="51" customFormat="false" ht="15" hidden="false" customHeight="false" outlineLevel="0" collapsed="false">
      <c r="B51" s="2" t="n">
        <v>49</v>
      </c>
      <c r="C51" s="3" t="s">
        <v>176</v>
      </c>
      <c r="D51" s="2" t="s">
        <v>177</v>
      </c>
      <c r="E51" s="3" t="s">
        <v>146</v>
      </c>
      <c r="F51" s="3" t="s">
        <v>135</v>
      </c>
      <c r="G51" s="4" t="n">
        <v>32.21</v>
      </c>
      <c r="H51" s="3" t="s">
        <v>148</v>
      </c>
    </row>
    <row r="52" customFormat="false" ht="15" hidden="false" customHeight="false" outlineLevel="0" collapsed="false">
      <c r="B52" s="5" t="n">
        <v>50</v>
      </c>
      <c r="C52" s="6" t="s">
        <v>178</v>
      </c>
      <c r="D52" s="5" t="s">
        <v>82</v>
      </c>
      <c r="E52" s="6" t="s">
        <v>179</v>
      </c>
      <c r="F52" s="6" t="s">
        <v>180</v>
      </c>
      <c r="G52" s="7"/>
      <c r="H52" s="6"/>
    </row>
    <row r="53" customFormat="false" ht="15" hidden="false" customHeight="false" outlineLevel="0" collapsed="false">
      <c r="B53" s="2" t="n">
        <v>51</v>
      </c>
      <c r="C53" s="3" t="s">
        <v>181</v>
      </c>
      <c r="D53" s="2" t="s">
        <v>182</v>
      </c>
      <c r="E53" s="3" t="s">
        <v>179</v>
      </c>
      <c r="F53" s="3" t="s">
        <v>183</v>
      </c>
      <c r="G53" s="4" t="n">
        <v>90.2</v>
      </c>
      <c r="H53" s="3" t="s">
        <v>184</v>
      </c>
    </row>
    <row r="54" customFormat="false" ht="15" hidden="false" customHeight="false" outlineLevel="0" collapsed="false">
      <c r="B54" s="2" t="n">
        <v>52</v>
      </c>
      <c r="C54" s="3" t="s">
        <v>185</v>
      </c>
      <c r="D54" s="2" t="s">
        <v>186</v>
      </c>
      <c r="E54" s="3" t="s">
        <v>179</v>
      </c>
      <c r="F54" s="3" t="s">
        <v>187</v>
      </c>
      <c r="G54" s="4" t="n">
        <v>132.5</v>
      </c>
      <c r="H54" s="3" t="s">
        <v>188</v>
      </c>
    </row>
    <row r="55" customFormat="false" ht="15" hidden="false" customHeight="false" outlineLevel="0" collapsed="false">
      <c r="B55" s="5" t="n">
        <v>53</v>
      </c>
      <c r="C55" s="6" t="s">
        <v>189</v>
      </c>
      <c r="D55" s="5" t="s">
        <v>190</v>
      </c>
      <c r="E55" s="6" t="s">
        <v>191</v>
      </c>
      <c r="F55" s="6" t="s">
        <v>192</v>
      </c>
      <c r="G55" s="7"/>
      <c r="H55" s="6"/>
    </row>
    <row r="56" customFormat="false" ht="15" hidden="false" customHeight="false" outlineLevel="0" collapsed="false">
      <c r="B56" s="5" t="n">
        <v>54</v>
      </c>
      <c r="C56" s="6" t="s">
        <v>193</v>
      </c>
      <c r="D56" s="5" t="s">
        <v>194</v>
      </c>
      <c r="E56" s="6" t="s">
        <v>191</v>
      </c>
      <c r="F56" s="6" t="s">
        <v>195</v>
      </c>
      <c r="G56" s="7"/>
      <c r="H56" s="6"/>
    </row>
    <row r="57" customFormat="false" ht="15" hidden="false" customHeight="false" outlineLevel="0" collapsed="false">
      <c r="B57" s="2" t="n">
        <v>55</v>
      </c>
      <c r="C57" s="3" t="s">
        <v>196</v>
      </c>
      <c r="D57" s="2" t="s">
        <v>197</v>
      </c>
      <c r="E57" s="3" t="s">
        <v>198</v>
      </c>
      <c r="F57" s="3" t="s">
        <v>199</v>
      </c>
      <c r="G57" s="4" t="n">
        <v>17.2</v>
      </c>
      <c r="H57" s="3" t="s">
        <v>119</v>
      </c>
    </row>
    <row r="58" customFormat="false" ht="15" hidden="false" customHeight="false" outlineLevel="0" collapsed="false">
      <c r="B58" s="2" t="n">
        <v>56</v>
      </c>
      <c r="C58" s="3" t="s">
        <v>200</v>
      </c>
      <c r="D58" s="2" t="s">
        <v>201</v>
      </c>
      <c r="E58" s="3" t="s">
        <v>198</v>
      </c>
      <c r="F58" s="3" t="s">
        <v>202</v>
      </c>
      <c r="G58" s="4" t="n">
        <v>12.97</v>
      </c>
      <c r="H58" s="3" t="s">
        <v>119</v>
      </c>
    </row>
    <row r="59" customFormat="false" ht="15" hidden="false" customHeight="false" outlineLevel="0" collapsed="false">
      <c r="B59" s="2" t="n">
        <v>57</v>
      </c>
      <c r="C59" s="3" t="s">
        <v>203</v>
      </c>
      <c r="D59" s="2" t="s">
        <v>204</v>
      </c>
      <c r="E59" s="3" t="s">
        <v>198</v>
      </c>
      <c r="F59" s="3" t="s">
        <v>205</v>
      </c>
      <c r="G59" s="4" t="n">
        <v>18.5</v>
      </c>
      <c r="H59" s="3" t="s">
        <v>119</v>
      </c>
    </row>
    <row r="60" customFormat="false" ht="15" hidden="false" customHeight="false" outlineLevel="0" collapsed="false">
      <c r="B60" s="2" t="n">
        <v>58</v>
      </c>
      <c r="C60" s="3" t="s">
        <v>206</v>
      </c>
      <c r="D60" s="2" t="s">
        <v>204</v>
      </c>
      <c r="E60" s="3" t="s">
        <v>198</v>
      </c>
      <c r="F60" s="3" t="s">
        <v>207</v>
      </c>
      <c r="G60" s="4" t="n">
        <v>18.5</v>
      </c>
      <c r="H60" s="3" t="s">
        <v>119</v>
      </c>
    </row>
    <row r="61" customFormat="false" ht="15" hidden="false" customHeight="false" outlineLevel="0" collapsed="false">
      <c r="B61" s="2" t="n">
        <v>59</v>
      </c>
      <c r="C61" s="3" t="s">
        <v>208</v>
      </c>
      <c r="D61" s="2" t="s">
        <v>209</v>
      </c>
      <c r="E61" s="3" t="s">
        <v>210</v>
      </c>
      <c r="F61" s="3" t="s">
        <v>207</v>
      </c>
      <c r="G61" s="4" t="n">
        <v>47.4</v>
      </c>
      <c r="H61" s="3" t="s">
        <v>119</v>
      </c>
    </row>
    <row r="62" customFormat="false" ht="15" hidden="false" customHeight="false" outlineLevel="0" collapsed="false">
      <c r="B62" s="2" t="n">
        <v>60</v>
      </c>
      <c r="C62" s="3" t="s">
        <v>211</v>
      </c>
      <c r="D62" s="2" t="s">
        <v>212</v>
      </c>
      <c r="E62" s="3" t="s">
        <v>213</v>
      </c>
      <c r="F62" s="3" t="s">
        <v>214</v>
      </c>
      <c r="G62" s="4" t="n">
        <v>42.3</v>
      </c>
      <c r="H62" s="3" t="s">
        <v>119</v>
      </c>
    </row>
    <row r="63" customFormat="false" ht="15" hidden="false" customHeight="false" outlineLevel="0" collapsed="false">
      <c r="B63" s="2" t="n">
        <v>61</v>
      </c>
      <c r="C63" s="3" t="s">
        <v>215</v>
      </c>
      <c r="D63" s="2" t="s">
        <v>216</v>
      </c>
      <c r="E63" s="3" t="s">
        <v>217</v>
      </c>
      <c r="F63" s="3" t="s">
        <v>218</v>
      </c>
      <c r="G63" s="4" t="n">
        <v>30.9</v>
      </c>
      <c r="H63" s="3" t="s">
        <v>119</v>
      </c>
    </row>
    <row r="64" customFormat="false" ht="15" hidden="false" customHeight="false" outlineLevel="0" collapsed="false">
      <c r="B64" s="2" t="n">
        <v>62</v>
      </c>
      <c r="C64" s="3" t="s">
        <v>219</v>
      </c>
      <c r="D64" s="2" t="s">
        <v>220</v>
      </c>
      <c r="E64" s="3" t="s">
        <v>221</v>
      </c>
      <c r="F64" s="3" t="s">
        <v>222</v>
      </c>
      <c r="G64" s="4" t="n">
        <v>48.8</v>
      </c>
      <c r="H64" s="3" t="s">
        <v>119</v>
      </c>
    </row>
    <row r="65" customFormat="false" ht="15" hidden="false" customHeight="false" outlineLevel="0" collapsed="false">
      <c r="B65" s="2" t="n">
        <v>63</v>
      </c>
      <c r="C65" s="3" t="s">
        <v>223</v>
      </c>
      <c r="D65" s="2" t="s">
        <v>224</v>
      </c>
      <c r="E65" s="3" t="s">
        <v>221</v>
      </c>
      <c r="F65" s="3" t="s">
        <v>225</v>
      </c>
      <c r="G65" s="4" t="n">
        <v>78.1</v>
      </c>
      <c r="H65" s="3" t="s">
        <v>119</v>
      </c>
    </row>
    <row r="66" customFormat="false" ht="15" hidden="false" customHeight="false" outlineLevel="0" collapsed="false">
      <c r="B66" s="2" t="n">
        <v>64</v>
      </c>
      <c r="C66" s="3" t="s">
        <v>226</v>
      </c>
      <c r="D66" s="2" t="s">
        <v>227</v>
      </c>
      <c r="E66" s="3" t="s">
        <v>228</v>
      </c>
      <c r="F66" s="3" t="s">
        <v>229</v>
      </c>
      <c r="G66" s="4" t="n">
        <v>58.1</v>
      </c>
      <c r="H66" s="3" t="s">
        <v>119</v>
      </c>
    </row>
    <row r="67" customFormat="false" ht="15" hidden="false" customHeight="false" outlineLevel="0" collapsed="false">
      <c r="B67" s="2" t="n">
        <v>65</v>
      </c>
      <c r="C67" s="3" t="s">
        <v>230</v>
      </c>
      <c r="D67" s="2" t="s">
        <v>231</v>
      </c>
      <c r="E67" s="3" t="s">
        <v>232</v>
      </c>
      <c r="F67" s="3" t="s">
        <v>205</v>
      </c>
      <c r="G67" s="4" t="n">
        <v>56.8</v>
      </c>
      <c r="H67" s="3" t="s">
        <v>119</v>
      </c>
    </row>
    <row r="68" customFormat="false" ht="15" hidden="false" customHeight="false" outlineLevel="0" collapsed="false">
      <c r="B68" s="2" t="n">
        <v>66</v>
      </c>
      <c r="C68" s="3" t="s">
        <v>233</v>
      </c>
      <c r="D68" s="2" t="s">
        <v>231</v>
      </c>
      <c r="E68" s="3" t="s">
        <v>234</v>
      </c>
      <c r="F68" s="3" t="s">
        <v>207</v>
      </c>
      <c r="G68" s="4" t="n">
        <v>57.1</v>
      </c>
      <c r="H68" s="3" t="s">
        <v>235</v>
      </c>
    </row>
    <row r="69" customFormat="false" ht="15" hidden="false" customHeight="false" outlineLevel="0" collapsed="false">
      <c r="B69" s="2" t="n">
        <v>67</v>
      </c>
      <c r="C69" s="3" t="s">
        <v>233</v>
      </c>
      <c r="D69" s="2" t="s">
        <v>231</v>
      </c>
      <c r="E69" s="3" t="s">
        <v>234</v>
      </c>
      <c r="F69" s="3" t="s">
        <v>207</v>
      </c>
      <c r="G69" s="4" t="n">
        <v>57.1</v>
      </c>
      <c r="H69" s="3" t="s">
        <v>235</v>
      </c>
    </row>
    <row r="70" customFormat="false" ht="15" hidden="false" customHeight="false" outlineLevel="0" collapsed="false">
      <c r="B70" s="2" t="n">
        <v>68</v>
      </c>
      <c r="C70" s="3" t="s">
        <v>236</v>
      </c>
      <c r="D70" s="2" t="s">
        <v>237</v>
      </c>
      <c r="E70" s="3" t="s">
        <v>234</v>
      </c>
      <c r="F70" s="3" t="s">
        <v>238</v>
      </c>
      <c r="G70" s="4" t="n">
        <v>77.8</v>
      </c>
      <c r="H70" s="3" t="s">
        <v>119</v>
      </c>
    </row>
    <row r="71" customFormat="false" ht="15" hidden="false" customHeight="false" outlineLevel="0" collapsed="false">
      <c r="B71" s="2" t="n">
        <v>69</v>
      </c>
      <c r="C71" s="3" t="s">
        <v>239</v>
      </c>
      <c r="D71" s="2" t="s">
        <v>240</v>
      </c>
      <c r="E71" s="3" t="s">
        <v>241</v>
      </c>
      <c r="F71" s="3" t="s">
        <v>222</v>
      </c>
      <c r="G71" s="4" t="n">
        <v>88</v>
      </c>
      <c r="H71" s="3" t="s">
        <v>242</v>
      </c>
    </row>
    <row r="72" customFormat="false" ht="15" hidden="false" customHeight="false" outlineLevel="0" collapsed="false">
      <c r="B72" s="2" t="n">
        <v>70</v>
      </c>
      <c r="C72" s="3" t="s">
        <v>243</v>
      </c>
      <c r="D72" s="2" t="s">
        <v>240</v>
      </c>
      <c r="E72" s="3" t="s">
        <v>244</v>
      </c>
      <c r="F72" s="3" t="s">
        <v>222</v>
      </c>
      <c r="G72" s="4" t="n">
        <v>88</v>
      </c>
      <c r="H72" s="3" t="s">
        <v>242</v>
      </c>
    </row>
    <row r="73" customFormat="false" ht="15" hidden="false" customHeight="false" outlineLevel="0" collapsed="false">
      <c r="B73" s="2" t="n">
        <v>71</v>
      </c>
      <c r="C73" s="3" t="s">
        <v>245</v>
      </c>
      <c r="D73" s="2" t="s">
        <v>246</v>
      </c>
      <c r="E73" s="3" t="s">
        <v>247</v>
      </c>
      <c r="F73" s="3" t="s">
        <v>248</v>
      </c>
      <c r="G73" s="4" t="n">
        <v>128.8</v>
      </c>
      <c r="H73" s="3" t="s">
        <v>119</v>
      </c>
    </row>
    <row r="74" customFormat="false" ht="15" hidden="false" customHeight="false" outlineLevel="0" collapsed="false">
      <c r="B74" s="2" t="n">
        <v>72</v>
      </c>
      <c r="C74" s="3" t="s">
        <v>249</v>
      </c>
      <c r="D74" s="2" t="s">
        <v>250</v>
      </c>
      <c r="E74" s="3" t="s">
        <v>247</v>
      </c>
      <c r="F74" s="3" t="s">
        <v>251</v>
      </c>
      <c r="G74" s="4" t="n">
        <v>178.3</v>
      </c>
      <c r="H74" s="3" t="s">
        <v>119</v>
      </c>
    </row>
    <row r="75" customFormat="false" ht="15" hidden="false" customHeight="false" outlineLevel="0" collapsed="false">
      <c r="B75" s="2" t="n">
        <v>73</v>
      </c>
      <c r="C75" s="3" t="s">
        <v>252</v>
      </c>
      <c r="D75" s="2" t="s">
        <v>253</v>
      </c>
      <c r="E75" s="3" t="s">
        <v>254</v>
      </c>
      <c r="F75" s="3" t="s">
        <v>255</v>
      </c>
      <c r="G75" s="4" t="n">
        <v>17.2</v>
      </c>
      <c r="H75" s="3" t="s">
        <v>256</v>
      </c>
    </row>
    <row r="76" customFormat="false" ht="15" hidden="false" customHeight="false" outlineLevel="0" collapsed="false">
      <c r="B76" s="2" t="n">
        <v>74</v>
      </c>
      <c r="C76" s="3" t="s">
        <v>257</v>
      </c>
      <c r="D76" s="2" t="s">
        <v>31</v>
      </c>
      <c r="E76" s="3" t="s">
        <v>258</v>
      </c>
      <c r="F76" s="3" t="s">
        <v>32</v>
      </c>
      <c r="G76" s="4" t="n">
        <v>170.9</v>
      </c>
      <c r="H76" s="3" t="s">
        <v>119</v>
      </c>
    </row>
    <row r="77" customFormat="false" ht="15" hidden="false" customHeight="false" outlineLevel="0" collapsed="false">
      <c r="B77" s="2" t="n">
        <v>75</v>
      </c>
      <c r="C77" s="3" t="s">
        <v>259</v>
      </c>
      <c r="D77" s="2" t="s">
        <v>35</v>
      </c>
      <c r="E77" s="3" t="s">
        <v>258</v>
      </c>
      <c r="F77" s="3" t="s">
        <v>260</v>
      </c>
      <c r="G77" s="4" t="n">
        <v>220.5</v>
      </c>
      <c r="H77" s="3" t="s">
        <v>119</v>
      </c>
    </row>
    <row r="78" customFormat="false" ht="15" hidden="false" customHeight="false" outlineLevel="0" collapsed="false">
      <c r="B78" s="2" t="n">
        <v>76</v>
      </c>
      <c r="C78" s="3" t="s">
        <v>261</v>
      </c>
      <c r="D78" s="2" t="s">
        <v>262</v>
      </c>
      <c r="E78" s="3" t="s">
        <v>263</v>
      </c>
      <c r="F78" s="3" t="s">
        <v>205</v>
      </c>
      <c r="G78" s="4" t="n">
        <v>49.7</v>
      </c>
      <c r="H78" s="3" t="s">
        <v>119</v>
      </c>
    </row>
    <row r="79" customFormat="false" ht="15" hidden="false" customHeight="false" outlineLevel="0" collapsed="false">
      <c r="B79" s="2" t="n">
        <v>77</v>
      </c>
      <c r="C79" s="3" t="s">
        <v>264</v>
      </c>
      <c r="D79" s="2" t="s">
        <v>262</v>
      </c>
      <c r="E79" s="3" t="s">
        <v>263</v>
      </c>
      <c r="F79" s="3" t="s">
        <v>162</v>
      </c>
      <c r="G79" s="4" t="n">
        <v>49.7</v>
      </c>
      <c r="H79" s="3" t="s">
        <v>119</v>
      </c>
    </row>
    <row r="80" customFormat="false" ht="15" hidden="false" customHeight="false" outlineLevel="0" collapsed="false">
      <c r="B80" s="2" t="n">
        <v>78</v>
      </c>
      <c r="C80" s="3" t="s">
        <v>265</v>
      </c>
      <c r="D80" s="2" t="s">
        <v>266</v>
      </c>
      <c r="E80" s="3" t="s">
        <v>267</v>
      </c>
      <c r="F80" s="3" t="s">
        <v>71</v>
      </c>
      <c r="G80" s="4" t="n">
        <v>9.59</v>
      </c>
      <c r="H80" s="3" t="s">
        <v>119</v>
      </c>
    </row>
    <row r="81" customFormat="false" ht="15" hidden="false" customHeight="false" outlineLevel="0" collapsed="false">
      <c r="B81" s="2" t="n">
        <v>79</v>
      </c>
      <c r="C81" s="3" t="s">
        <v>268</v>
      </c>
      <c r="D81" s="2" t="s">
        <v>269</v>
      </c>
      <c r="E81" s="3" t="s">
        <v>267</v>
      </c>
      <c r="F81" s="3" t="s">
        <v>162</v>
      </c>
      <c r="G81" s="4" t="n">
        <v>16.44</v>
      </c>
      <c r="H81" s="3" t="s">
        <v>119</v>
      </c>
    </row>
    <row r="82" customFormat="false" ht="15" hidden="false" customHeight="false" outlineLevel="0" collapsed="false">
      <c r="B82" s="2" t="n">
        <v>80</v>
      </c>
      <c r="C82" s="3" t="s">
        <v>270</v>
      </c>
      <c r="D82" s="2" t="s">
        <v>271</v>
      </c>
      <c r="E82" s="3" t="s">
        <v>272</v>
      </c>
      <c r="F82" s="3" t="s">
        <v>273</v>
      </c>
      <c r="G82" s="4" t="n">
        <v>88.3</v>
      </c>
      <c r="H82" s="3" t="s">
        <v>274</v>
      </c>
    </row>
    <row r="83" customFormat="false" ht="15" hidden="false" customHeight="false" outlineLevel="0" collapsed="false">
      <c r="B83" s="2" t="n">
        <v>81</v>
      </c>
      <c r="C83" s="3" t="s">
        <v>275</v>
      </c>
      <c r="D83" s="2" t="s">
        <v>276</v>
      </c>
      <c r="E83" s="3" t="s">
        <v>277</v>
      </c>
      <c r="F83" s="3" t="s">
        <v>207</v>
      </c>
      <c r="G83" s="4" t="n">
        <v>104.2</v>
      </c>
      <c r="H83" s="3" t="s">
        <v>119</v>
      </c>
    </row>
    <row r="84" customFormat="false" ht="15" hidden="false" customHeight="false" outlineLevel="0" collapsed="false">
      <c r="B84" s="2" t="n">
        <v>82</v>
      </c>
      <c r="C84" s="3" t="s">
        <v>278</v>
      </c>
      <c r="D84" s="2" t="s">
        <v>279</v>
      </c>
      <c r="E84" s="3" t="s">
        <v>280</v>
      </c>
      <c r="F84" s="3" t="s">
        <v>202</v>
      </c>
      <c r="G84" s="4" t="n">
        <v>28.9</v>
      </c>
      <c r="H84" s="3" t="s">
        <v>119</v>
      </c>
    </row>
    <row r="85" customFormat="false" ht="15" hidden="false" customHeight="false" outlineLevel="0" collapsed="false">
      <c r="B85" s="2" t="n">
        <v>83</v>
      </c>
      <c r="C85" s="3" t="s">
        <v>281</v>
      </c>
      <c r="D85" s="2" t="s">
        <v>204</v>
      </c>
      <c r="E85" s="3" t="s">
        <v>282</v>
      </c>
      <c r="F85" s="3" t="s">
        <v>207</v>
      </c>
      <c r="G85" s="4" t="n">
        <v>25.51</v>
      </c>
      <c r="H85" s="3" t="s">
        <v>119</v>
      </c>
    </row>
    <row r="86" customFormat="false" ht="15" hidden="false" customHeight="false" outlineLevel="0" collapsed="false">
      <c r="B86" s="2" t="n">
        <v>84</v>
      </c>
      <c r="C86" s="3" t="s">
        <v>283</v>
      </c>
      <c r="D86" s="2" t="s">
        <v>284</v>
      </c>
      <c r="E86" s="3" t="s">
        <v>285</v>
      </c>
      <c r="F86" s="3" t="s">
        <v>286</v>
      </c>
      <c r="G86" s="4" t="n">
        <v>44.4</v>
      </c>
      <c r="H86" s="3" t="s">
        <v>119</v>
      </c>
    </row>
    <row r="87" customFormat="false" ht="15" hidden="false" customHeight="false" outlineLevel="0" collapsed="false">
      <c r="B87" s="2" t="n">
        <v>85</v>
      </c>
      <c r="C87" s="3" t="s">
        <v>287</v>
      </c>
      <c r="D87" s="2" t="s">
        <v>125</v>
      </c>
      <c r="E87" s="3" t="s">
        <v>288</v>
      </c>
      <c r="F87" s="3" t="s">
        <v>71</v>
      </c>
      <c r="G87" s="4" t="n">
        <v>6.64</v>
      </c>
      <c r="H87" s="3" t="s">
        <v>119</v>
      </c>
    </row>
    <row r="88" customFormat="false" ht="15" hidden="false" customHeight="false" outlineLevel="0" collapsed="false">
      <c r="B88" s="2" t="n">
        <v>86</v>
      </c>
      <c r="C88" s="3" t="s">
        <v>289</v>
      </c>
      <c r="D88" s="2" t="s">
        <v>290</v>
      </c>
      <c r="E88" s="3" t="s">
        <v>291</v>
      </c>
      <c r="F88" s="3" t="s">
        <v>71</v>
      </c>
      <c r="G88" s="4" t="n">
        <v>5.25</v>
      </c>
      <c r="H88" s="3" t="s">
        <v>119</v>
      </c>
    </row>
    <row r="89" customFormat="false" ht="15" hidden="false" customHeight="false" outlineLevel="0" collapsed="false">
      <c r="B89" s="2" t="n">
        <v>87</v>
      </c>
      <c r="C89" s="3" t="s">
        <v>292</v>
      </c>
      <c r="D89" s="2" t="s">
        <v>204</v>
      </c>
      <c r="E89" s="3" t="s">
        <v>293</v>
      </c>
      <c r="F89" s="3" t="s">
        <v>207</v>
      </c>
      <c r="G89" s="4" t="n">
        <v>26.2</v>
      </c>
      <c r="H89" s="3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4"/>
  </cols>
  <sheetData>
    <row r="2" customFormat="false" ht="15" hidden="false" customHeight="false" outlineLevel="0" collapsed="false">
      <c r="B2" s="8" t="s">
        <v>3</v>
      </c>
      <c r="C2" s="8" t="s">
        <v>294</v>
      </c>
      <c r="D2" s="8" t="s">
        <v>295</v>
      </c>
      <c r="E2" s="8" t="s">
        <v>296</v>
      </c>
    </row>
    <row r="3" customFormat="false" ht="15" hidden="false" customHeight="false" outlineLevel="0" collapsed="false">
      <c r="B3" s="9" t="s">
        <v>146</v>
      </c>
      <c r="C3" s="10" t="n">
        <v>13</v>
      </c>
      <c r="D3" s="10" t="n">
        <v>13</v>
      </c>
      <c r="E3" s="11" t="n">
        <f aca="false">C3/D3</f>
        <v>1</v>
      </c>
    </row>
    <row r="4" customFormat="false" ht="15" hidden="false" customHeight="false" outlineLevel="0" collapsed="false">
      <c r="B4" s="9" t="s">
        <v>9</v>
      </c>
      <c r="C4" s="10" t="n">
        <v>8</v>
      </c>
      <c r="D4" s="10" t="n">
        <v>8</v>
      </c>
      <c r="E4" s="11" t="n">
        <f aca="false">C4/D4</f>
        <v>1</v>
      </c>
    </row>
    <row r="5" customFormat="false" ht="15" hidden="false" customHeight="false" outlineLevel="0" collapsed="false">
      <c r="B5" s="9" t="s">
        <v>44</v>
      </c>
      <c r="C5" s="10" t="n">
        <v>1</v>
      </c>
      <c r="D5" s="10" t="n">
        <v>5</v>
      </c>
      <c r="E5" s="11" t="n">
        <f aca="false">C5/D5</f>
        <v>0.2</v>
      </c>
    </row>
    <row r="6" customFormat="false" ht="15" hidden="false" customHeight="false" outlineLevel="0" collapsed="false">
      <c r="B6" s="9" t="s">
        <v>198</v>
      </c>
      <c r="C6" s="10" t="n">
        <v>4</v>
      </c>
      <c r="D6" s="10" t="n">
        <v>4</v>
      </c>
      <c r="E6" s="11" t="n">
        <f aca="false">C6/D6</f>
        <v>1</v>
      </c>
    </row>
    <row r="7" customFormat="false" ht="15" hidden="false" customHeight="false" outlineLevel="0" collapsed="false">
      <c r="B7" s="9" t="s">
        <v>234</v>
      </c>
      <c r="C7" s="10" t="n">
        <v>3</v>
      </c>
      <c r="D7" s="10" t="n">
        <v>3</v>
      </c>
      <c r="E7" s="11" t="n">
        <f aca="false">C7/D7</f>
        <v>1</v>
      </c>
    </row>
    <row r="8" customFormat="false" ht="15" hidden="false" customHeight="false" outlineLevel="0" collapsed="false">
      <c r="B8" s="9" t="s">
        <v>101</v>
      </c>
      <c r="C8" s="10" t="n">
        <v>2</v>
      </c>
      <c r="D8" s="10" t="n">
        <v>3</v>
      </c>
      <c r="E8" s="11" t="n">
        <f aca="false">C8/D8</f>
        <v>0.666666666666667</v>
      </c>
    </row>
    <row r="9" customFormat="false" ht="15" hidden="false" customHeight="false" outlineLevel="0" collapsed="false">
      <c r="B9" s="9" t="s">
        <v>79</v>
      </c>
      <c r="C9" s="10" t="n">
        <v>1</v>
      </c>
      <c r="D9" s="10" t="n">
        <v>3</v>
      </c>
      <c r="E9" s="11" t="n">
        <f aca="false">C9/D9</f>
        <v>0.333333333333333</v>
      </c>
    </row>
    <row r="10" customFormat="false" ht="15" hidden="false" customHeight="false" outlineLevel="0" collapsed="false">
      <c r="B10" s="9" t="s">
        <v>179</v>
      </c>
      <c r="C10" s="10" t="n">
        <v>2</v>
      </c>
      <c r="D10" s="10" t="n">
        <v>3</v>
      </c>
      <c r="E10" s="11" t="n">
        <f aca="false">C10/D10</f>
        <v>0.666666666666667</v>
      </c>
    </row>
    <row r="11" customFormat="false" ht="15" hidden="false" customHeight="false" outlineLevel="0" collapsed="false">
      <c r="B11" s="9" t="s">
        <v>221</v>
      </c>
      <c r="C11" s="10" t="n">
        <v>2</v>
      </c>
      <c r="D11" s="10" t="n">
        <v>2</v>
      </c>
      <c r="E11" s="11" t="n">
        <f aca="false">C11/D11</f>
        <v>1</v>
      </c>
    </row>
    <row r="12" customFormat="false" ht="15" hidden="false" customHeight="false" outlineLevel="0" collapsed="false">
      <c r="B12" s="9" t="s">
        <v>263</v>
      </c>
      <c r="C12" s="10" t="n">
        <v>2</v>
      </c>
      <c r="D12" s="10" t="n">
        <v>2</v>
      </c>
      <c r="E12" s="11" t="n">
        <f aca="false">C12/D12</f>
        <v>1</v>
      </c>
    </row>
    <row r="13" customFormat="false" ht="15" hidden="false" customHeight="false" outlineLevel="0" collapsed="false">
      <c r="B13" s="9" t="s">
        <v>90</v>
      </c>
      <c r="C13" s="10" t="n">
        <v>1</v>
      </c>
      <c r="D13" s="10" t="n">
        <v>2</v>
      </c>
      <c r="E13" s="11" t="n">
        <f aca="false">C13/D13</f>
        <v>0.5</v>
      </c>
    </row>
    <row r="14" customFormat="false" ht="15" hidden="false" customHeight="false" outlineLevel="0" collapsed="false">
      <c r="B14" s="9" t="s">
        <v>61</v>
      </c>
      <c r="C14" s="10" t="n">
        <v>2</v>
      </c>
      <c r="D14" s="10" t="n">
        <v>2</v>
      </c>
      <c r="E14" s="11" t="n">
        <f aca="false">C14/D14</f>
        <v>1</v>
      </c>
    </row>
    <row r="15" customFormat="false" ht="15" hidden="false" customHeight="false" outlineLevel="0" collapsed="false">
      <c r="B15" s="9" t="s">
        <v>267</v>
      </c>
      <c r="C15" s="10" t="n">
        <v>2</v>
      </c>
      <c r="D15" s="10" t="n">
        <v>2</v>
      </c>
      <c r="E15" s="11" t="n">
        <f aca="false">C15/D15</f>
        <v>1</v>
      </c>
    </row>
    <row r="16" customFormat="false" ht="15" hidden="false" customHeight="false" outlineLevel="0" collapsed="false">
      <c r="B16" s="9" t="s">
        <v>247</v>
      </c>
      <c r="C16" s="10" t="n">
        <v>2</v>
      </c>
      <c r="D16" s="10" t="n">
        <v>2</v>
      </c>
      <c r="E16" s="11" t="n">
        <f aca="false">C16/D16</f>
        <v>1</v>
      </c>
    </row>
    <row r="17" customFormat="false" ht="15" hidden="false" customHeight="false" outlineLevel="0" collapsed="false">
      <c r="B17" s="9" t="s">
        <v>191</v>
      </c>
      <c r="C17" s="10" t="n">
        <v>0</v>
      </c>
      <c r="D17" s="10" t="n">
        <v>2</v>
      </c>
      <c r="E17" s="11" t="n">
        <f aca="false">C17/D17</f>
        <v>0</v>
      </c>
    </row>
    <row r="18" customFormat="false" ht="15" hidden="false" customHeight="false" outlineLevel="0" collapsed="false">
      <c r="B18" s="9" t="s">
        <v>258</v>
      </c>
      <c r="C18" s="10" t="n">
        <v>2</v>
      </c>
      <c r="D18" s="10" t="n">
        <v>2</v>
      </c>
      <c r="E18" s="11" t="n">
        <f aca="false">C18/D18</f>
        <v>1</v>
      </c>
    </row>
    <row r="19" customFormat="false" ht="15" hidden="false" customHeight="false" outlineLevel="0" collapsed="false">
      <c r="B19" s="9" t="s">
        <v>74</v>
      </c>
      <c r="C19" s="10" t="n">
        <v>2</v>
      </c>
      <c r="D19" s="10" t="n">
        <v>2</v>
      </c>
      <c r="E19" s="11" t="n">
        <f aca="false">C19/D19</f>
        <v>1</v>
      </c>
    </row>
    <row r="20" customFormat="false" ht="15" hidden="false" customHeight="false" outlineLevel="0" collapsed="false">
      <c r="B20" s="9" t="s">
        <v>213</v>
      </c>
      <c r="C20" s="10" t="n">
        <v>1</v>
      </c>
      <c r="D20" s="10" t="n">
        <v>1</v>
      </c>
      <c r="E20" s="11" t="n">
        <f aca="false">C20/D20</f>
        <v>1</v>
      </c>
    </row>
    <row r="21" customFormat="false" ht="15" hidden="false" customHeight="false" outlineLevel="0" collapsed="false">
      <c r="B21" s="9" t="s">
        <v>122</v>
      </c>
      <c r="C21" s="10" t="n">
        <v>0</v>
      </c>
      <c r="D21" s="10" t="n">
        <v>1</v>
      </c>
      <c r="E21" s="11" t="n">
        <f aca="false">C21/D21</f>
        <v>0</v>
      </c>
    </row>
    <row r="22" customFormat="false" ht="15" hidden="false" customHeight="false" outlineLevel="0" collapsed="false">
      <c r="B22" s="9" t="s">
        <v>134</v>
      </c>
      <c r="C22" s="10" t="n">
        <v>1</v>
      </c>
      <c r="D22" s="10" t="n">
        <v>1</v>
      </c>
      <c r="E22" s="11" t="n">
        <f aca="false">C22/D22</f>
        <v>1</v>
      </c>
    </row>
    <row r="23" customFormat="false" ht="15" hidden="false" customHeight="false" outlineLevel="0" collapsed="false">
      <c r="B23" s="9" t="s">
        <v>142</v>
      </c>
      <c r="C23" s="10" t="n">
        <v>1</v>
      </c>
      <c r="D23" s="10" t="n">
        <v>1</v>
      </c>
      <c r="E23" s="11" t="n">
        <f aca="false">C23/D23</f>
        <v>1</v>
      </c>
    </row>
    <row r="24" customFormat="false" ht="15" hidden="false" customHeight="false" outlineLevel="0" collapsed="false">
      <c r="B24" s="9" t="s">
        <v>232</v>
      </c>
      <c r="C24" s="10" t="n">
        <v>1</v>
      </c>
      <c r="D24" s="10" t="n">
        <v>1</v>
      </c>
      <c r="E24" s="11" t="n">
        <f aca="false">C24/D24</f>
        <v>1</v>
      </c>
    </row>
    <row r="25" customFormat="false" ht="15" hidden="false" customHeight="false" outlineLevel="0" collapsed="false">
      <c r="B25" s="9" t="s">
        <v>126</v>
      </c>
      <c r="C25" s="10" t="n">
        <v>0</v>
      </c>
      <c r="D25" s="10" t="n">
        <v>1</v>
      </c>
      <c r="E25" s="11" t="n">
        <f aca="false">C25/D25</f>
        <v>0</v>
      </c>
    </row>
    <row r="26" customFormat="false" ht="15" hidden="false" customHeight="false" outlineLevel="0" collapsed="false">
      <c r="B26" s="9" t="s">
        <v>291</v>
      </c>
      <c r="C26" s="10" t="n">
        <v>1</v>
      </c>
      <c r="D26" s="10" t="n">
        <v>1</v>
      </c>
      <c r="E26" s="11" t="n">
        <f aca="false">C26/D26</f>
        <v>1</v>
      </c>
    </row>
    <row r="27" customFormat="false" ht="15" hidden="false" customHeight="false" outlineLevel="0" collapsed="false">
      <c r="B27" s="9" t="s">
        <v>228</v>
      </c>
      <c r="C27" s="10" t="n">
        <v>1</v>
      </c>
      <c r="D27" s="10" t="n">
        <v>1</v>
      </c>
      <c r="E27" s="11" t="n">
        <f aca="false">C27/D27</f>
        <v>1</v>
      </c>
    </row>
    <row r="28" customFormat="false" ht="15" hidden="false" customHeight="false" outlineLevel="0" collapsed="false">
      <c r="B28" s="9" t="s">
        <v>244</v>
      </c>
      <c r="C28" s="10" t="n">
        <v>1</v>
      </c>
      <c r="D28" s="10" t="n">
        <v>1</v>
      </c>
      <c r="E28" s="11" t="n">
        <f aca="false">C28/D28</f>
        <v>1</v>
      </c>
    </row>
    <row r="29" customFormat="false" ht="15" hidden="false" customHeight="false" outlineLevel="0" collapsed="false">
      <c r="B29" s="9" t="s">
        <v>241</v>
      </c>
      <c r="C29" s="10" t="n">
        <v>1</v>
      </c>
      <c r="D29" s="10" t="n">
        <v>1</v>
      </c>
      <c r="E29" s="11" t="n">
        <f aca="false">C29/D29</f>
        <v>1</v>
      </c>
    </row>
    <row r="30" customFormat="false" ht="15" hidden="false" customHeight="false" outlineLevel="0" collapsed="false">
      <c r="B30" s="9" t="s">
        <v>277</v>
      </c>
      <c r="C30" s="10" t="n">
        <v>1</v>
      </c>
      <c r="D30" s="10" t="n">
        <v>1</v>
      </c>
      <c r="E30" s="11" t="n">
        <f aca="false">C30/D30</f>
        <v>1</v>
      </c>
    </row>
    <row r="31" customFormat="false" ht="15" hidden="false" customHeight="false" outlineLevel="0" collapsed="false">
      <c r="B31" s="9" t="s">
        <v>288</v>
      </c>
      <c r="C31" s="10" t="n">
        <v>1</v>
      </c>
      <c r="D31" s="10" t="n">
        <v>1</v>
      </c>
      <c r="E31" s="11" t="n">
        <f aca="false">C31/D31</f>
        <v>1</v>
      </c>
    </row>
    <row r="32" customFormat="false" ht="15" hidden="false" customHeight="false" outlineLevel="0" collapsed="false">
      <c r="B32" s="9" t="s">
        <v>97</v>
      </c>
      <c r="C32" s="10" t="n">
        <v>0</v>
      </c>
      <c r="D32" s="10" t="n">
        <v>1</v>
      </c>
      <c r="E32" s="11" t="n">
        <f aca="false">C32/D32</f>
        <v>0</v>
      </c>
    </row>
    <row r="33" customFormat="false" ht="15" hidden="false" customHeight="false" outlineLevel="0" collapsed="false">
      <c r="B33" s="9" t="s">
        <v>138</v>
      </c>
      <c r="C33" s="10" t="n">
        <v>0</v>
      </c>
      <c r="D33" s="10" t="n">
        <v>1</v>
      </c>
      <c r="E33" s="11" t="n">
        <f aca="false">C33/D33</f>
        <v>0</v>
      </c>
    </row>
    <row r="34" customFormat="false" ht="15" hidden="false" customHeight="false" outlineLevel="0" collapsed="false">
      <c r="B34" s="9" t="s">
        <v>272</v>
      </c>
      <c r="C34" s="10" t="n">
        <v>1</v>
      </c>
      <c r="D34" s="10" t="n">
        <v>1</v>
      </c>
      <c r="E34" s="11" t="n">
        <f aca="false">C34/D34</f>
        <v>1</v>
      </c>
    </row>
    <row r="35" customFormat="false" ht="15" hidden="false" customHeight="false" outlineLevel="0" collapsed="false">
      <c r="B35" s="9" t="s">
        <v>40</v>
      </c>
      <c r="C35" s="10" t="n">
        <v>0</v>
      </c>
      <c r="D35" s="10" t="n">
        <v>1</v>
      </c>
      <c r="E35" s="11" t="n">
        <f aca="false">C35/D35</f>
        <v>0</v>
      </c>
    </row>
    <row r="36" customFormat="false" ht="15" hidden="false" customHeight="false" outlineLevel="0" collapsed="false">
      <c r="B36" s="9" t="s">
        <v>112</v>
      </c>
      <c r="C36" s="10" t="n">
        <v>1</v>
      </c>
      <c r="D36" s="10" t="n">
        <v>1</v>
      </c>
      <c r="E36" s="11" t="n">
        <f aca="false">C36/D36</f>
        <v>1</v>
      </c>
    </row>
    <row r="37" customFormat="false" ht="15" hidden="false" customHeight="false" outlineLevel="0" collapsed="false">
      <c r="B37" s="9" t="s">
        <v>254</v>
      </c>
      <c r="C37" s="10" t="n">
        <v>1</v>
      </c>
      <c r="D37" s="10" t="n">
        <v>1</v>
      </c>
      <c r="E37" s="11" t="n">
        <f aca="false">C37/D37</f>
        <v>1</v>
      </c>
    </row>
    <row r="38" customFormat="false" ht="15" hidden="false" customHeight="false" outlineLevel="0" collapsed="false">
      <c r="B38" s="9" t="s">
        <v>70</v>
      </c>
      <c r="C38" s="10" t="n">
        <v>0</v>
      </c>
      <c r="D38" s="10" t="n">
        <v>1</v>
      </c>
      <c r="E38" s="11" t="n">
        <f aca="false">C38/D38</f>
        <v>0</v>
      </c>
    </row>
    <row r="39" customFormat="false" ht="15" hidden="false" customHeight="false" outlineLevel="0" collapsed="false">
      <c r="B39" s="9" t="s">
        <v>282</v>
      </c>
      <c r="C39" s="10" t="n">
        <v>1</v>
      </c>
      <c r="D39" s="10" t="n">
        <v>1</v>
      </c>
      <c r="E39" s="11" t="n">
        <f aca="false">C39/D39</f>
        <v>1</v>
      </c>
    </row>
    <row r="40" customFormat="false" ht="15" hidden="false" customHeight="false" outlineLevel="0" collapsed="false">
      <c r="B40" s="9" t="s">
        <v>293</v>
      </c>
      <c r="C40" s="10" t="n">
        <v>1</v>
      </c>
      <c r="D40" s="10" t="n">
        <v>1</v>
      </c>
      <c r="E40" s="11" t="n">
        <f aca="false">C40/D40</f>
        <v>1</v>
      </c>
    </row>
    <row r="41" customFormat="false" ht="15" hidden="false" customHeight="false" outlineLevel="0" collapsed="false">
      <c r="B41" s="9" t="s">
        <v>280</v>
      </c>
      <c r="C41" s="10" t="n">
        <v>1</v>
      </c>
      <c r="D41" s="10" t="n">
        <v>1</v>
      </c>
      <c r="E41" s="11" t="n">
        <f aca="false">C41/D41</f>
        <v>1</v>
      </c>
    </row>
    <row r="42" customFormat="false" ht="15" hidden="false" customHeight="false" outlineLevel="0" collapsed="false">
      <c r="B42" s="9" t="s">
        <v>117</v>
      </c>
      <c r="C42" s="10" t="n">
        <v>1</v>
      </c>
      <c r="D42" s="10" t="n">
        <v>1</v>
      </c>
      <c r="E42" s="11" t="n">
        <f aca="false">C42/D42</f>
        <v>1</v>
      </c>
    </row>
    <row r="43" customFormat="false" ht="15" hidden="false" customHeight="false" outlineLevel="0" collapsed="false">
      <c r="B43" s="9" t="s">
        <v>285</v>
      </c>
      <c r="C43" s="10" t="n">
        <v>1</v>
      </c>
      <c r="D43" s="10" t="n">
        <v>1</v>
      </c>
      <c r="E43" s="11" t="n">
        <f aca="false">C43/D43</f>
        <v>1</v>
      </c>
    </row>
    <row r="44" customFormat="false" ht="15" hidden="false" customHeight="false" outlineLevel="0" collapsed="false">
      <c r="B44" s="9" t="s">
        <v>217</v>
      </c>
      <c r="C44" s="10" t="n">
        <v>1</v>
      </c>
      <c r="D44" s="10" t="n">
        <v>1</v>
      </c>
      <c r="E44" s="11" t="n">
        <f aca="false">C44/D44</f>
        <v>1</v>
      </c>
    </row>
    <row r="45" customFormat="false" ht="15" hidden="false" customHeight="false" outlineLevel="0" collapsed="false">
      <c r="B45" s="9" t="s">
        <v>129</v>
      </c>
      <c r="C45" s="10" t="n">
        <v>1</v>
      </c>
      <c r="D45" s="10" t="n">
        <v>1</v>
      </c>
      <c r="E45" s="11" t="n">
        <f aca="false">C45/D45</f>
        <v>1</v>
      </c>
    </row>
    <row r="46" customFormat="false" ht="15" hidden="false" customHeight="false" outlineLevel="0" collapsed="false">
      <c r="B46" s="9" t="s">
        <v>210</v>
      </c>
      <c r="C46" s="10" t="n">
        <v>1</v>
      </c>
      <c r="D46" s="10" t="n">
        <v>1</v>
      </c>
      <c r="E46" s="11" t="n">
        <f aca="false">C46/D46</f>
        <v>1</v>
      </c>
    </row>
    <row r="47" customFormat="false" ht="15" hidden="false" customHeight="false" outlineLevel="0" collapsed="false">
      <c r="B47" s="12" t="s">
        <v>297</v>
      </c>
      <c r="C47" s="13" t="n">
        <f aca="false">SUM(C3:C46)</f>
        <v>70</v>
      </c>
      <c r="D47" s="13" t="n">
        <f aca="false">SUM(D3:D46)</f>
        <v>87</v>
      </c>
      <c r="E47" s="14" t="n">
        <f aca="false">C47/D47</f>
        <v>0.804597701149425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5" hidden="false" customHeight="false" outlineLevel="0" collapsed="false">
      <c r="B2" s="15" t="s">
        <v>298</v>
      </c>
    </row>
    <row r="3" customFormat="false" ht="15" hidden="false" customHeight="false" outlineLevel="0" collapsed="false">
      <c r="B3" s="16"/>
    </row>
    <row r="4" customFormat="false" ht="15" hidden="false" customHeight="false" outlineLevel="0" collapsed="false">
      <c r="B4" s="16" t="s">
        <v>299</v>
      </c>
    </row>
    <row r="5" customFormat="false" ht="15" hidden="false" customHeight="false" outlineLevel="0" collapsed="false">
      <c r="B5" s="16" t="s">
        <v>300</v>
      </c>
    </row>
    <row r="6" customFormat="false" ht="15" hidden="false" customHeight="false" outlineLevel="0" collapsed="false">
      <c r="B6" s="16" t="s">
        <v>301</v>
      </c>
    </row>
    <row r="7" customFormat="false" ht="15" hidden="false" customHeight="false" outlineLevel="0" collapsed="false">
      <c r="B7" s="16" t="s">
        <v>302</v>
      </c>
    </row>
    <row r="8" customFormat="false" ht="15" hidden="false" customHeight="false" outlineLevel="0" collapsed="false">
      <c r="B8" s="16"/>
    </row>
    <row r="9" customFormat="false" ht="15" hidden="false" customHeight="false" outlineLevel="0" collapsed="false">
      <c r="B9" s="15" t="s">
        <v>303</v>
      </c>
    </row>
    <row r="10" customFormat="false" ht="15" hidden="false" customHeight="false" outlineLevel="0" collapsed="false">
      <c r="B10" s="16" t="s">
        <v>304</v>
      </c>
    </row>
    <row r="11" customFormat="false" ht="15" hidden="false" customHeight="false" outlineLevel="0" collapsed="false">
      <c r="B11" s="16" t="s">
        <v>305</v>
      </c>
    </row>
    <row r="12" customFormat="false" ht="15" hidden="false" customHeight="false" outlineLevel="0" collapsed="false">
      <c r="B12" s="16" t="s">
        <v>306</v>
      </c>
    </row>
    <row r="13" customFormat="false" ht="15" hidden="false" customHeight="false" outlineLevel="0" collapsed="false">
      <c r="B13" s="16" t="s">
        <v>307</v>
      </c>
    </row>
    <row r="14" customFormat="false" ht="15" hidden="false" customHeight="false" outlineLevel="0" collapsed="false">
      <c r="B14" s="16"/>
    </row>
    <row r="15" customFormat="false" ht="15" hidden="false" customHeight="false" outlineLevel="0" collapsed="false">
      <c r="B15" s="15" t="s">
        <v>308</v>
      </c>
    </row>
    <row r="16" customFormat="false" ht="15" hidden="false" customHeight="false" outlineLevel="0" collapsed="false">
      <c r="B16" s="16" t="s">
        <v>309</v>
      </c>
    </row>
    <row r="17" customFormat="false" ht="15" hidden="false" customHeight="false" outlineLevel="0" collapsed="false">
      <c r="B17" s="16" t="s">
        <v>310</v>
      </c>
    </row>
    <row r="18" customFormat="false" ht="15" hidden="false" customHeight="false" outlineLevel="0" collapsed="false">
      <c r="B18" s="16" t="s">
        <v>311</v>
      </c>
    </row>
    <row r="19" customFormat="false" ht="15" hidden="false" customHeight="false" outlineLevel="0" collapsed="false">
      <c r="B19" s="16" t="s">
        <v>312</v>
      </c>
    </row>
    <row r="20" customFormat="false" ht="15" hidden="false" customHeight="false" outlineLevel="0" collapsed="false">
      <c r="B20" s="16"/>
    </row>
    <row r="21" customFormat="false" ht="15" hidden="false" customHeight="false" outlineLevel="0" collapsed="false">
      <c r="B21" s="15" t="s">
        <v>313</v>
      </c>
    </row>
    <row r="22" customFormat="false" ht="15" hidden="false" customHeight="false" outlineLevel="0" collapsed="false">
      <c r="B22" s="16" t="s">
        <v>314</v>
      </c>
    </row>
    <row r="23" customFormat="false" ht="15" hidden="false" customHeight="false" outlineLevel="0" collapsed="false">
      <c r="B23" s="16" t="s">
        <v>315</v>
      </c>
    </row>
    <row r="24" customFormat="false" ht="15" hidden="false" customHeight="false" outlineLevel="0" collapsed="false">
      <c r="B24" s="16"/>
    </row>
    <row r="25" customFormat="false" ht="15" hidden="false" customHeight="false" outlineLevel="0" collapsed="false">
      <c r="B25" s="15" t="s">
        <v>316</v>
      </c>
    </row>
    <row r="26" customFormat="false" ht="15" hidden="false" customHeight="false" outlineLevel="0" collapsed="false">
      <c r="B26" s="16" t="s">
        <v>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2026-07-14T13:07:07Z</dcterms:created>
  <dc:creator>openpyxl</dc:creator>
  <dc:description/>
  <dc:language>en-US</dc:language>
  <cp:lastModifiedBy/>
  <dcterms:modified xsi:type="dcterms:W3CDTF">2026-07-14T13:07:07Z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