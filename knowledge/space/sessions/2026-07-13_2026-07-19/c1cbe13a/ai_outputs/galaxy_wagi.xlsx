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laxy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<sst xmlns="http://schemas.openxmlformats.org/spreadsheetml/2006/main" count="160" uniqueCount="127">
  <si>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</si>
  <si>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</si>
  <si>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</si>
  <si>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</si>
  <si>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</si>
  <si>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</si>
  <si>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</si>
  <si>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200/65R16 Galaxy Garden Pro 94A8/94B TL</t>
  </si>
  <si>
    <t xml:space="preserve">200/65R16</t>
  </si>
  <si>
    <t xml:space="preserve">GARDEN</t>
  </si>
  <si>
    <t xml:space="preserve">Pro 94A8/94B TL</t>
  </si>
  <si>
    <t xml:space="preserve">200/70R16 Galaxy Garden Pro 94A8/94B TL</t>
  </si>
  <si>
    <t xml:space="preserve">200/70R16</t>
  </si>
  <si>
    <t xml:space="preserve">https://www.allpneus.com/catalogue/pneus-agricole/galaxy/pneus-industriel-genie-civil/garden-pro/269331 (kg źródłowe; Poids 14,4 kg) [dopasowano 'Garden Pro']</t>
  </si>
  <si>
    <t xml:space="preserve">240/60R12 Galaxy Garden Pro 89A8/89B TL</t>
  </si>
  <si>
    <t xml:space="preserve">240/60R12</t>
  </si>
  <si>
    <t xml:space="preserve">Pro 89A8/89B TL</t>
  </si>
  <si>
    <t xml:space="preserve">https://villageofgreenwoodlake.gov/products/galaxy-garden-pro-r-3-24060r12-89a8-lawn-and-garden-tire/230298943/ (dane NTS/tires-easy, 23 lb) [dopasowano 'Garden Pro']</t>
  </si>
  <si>
    <t xml:space="preserve">300/70R20 Galaxy Garden Pro 110A8/110B TL</t>
  </si>
  <si>
    <t xml:space="preserve">300/70R20</t>
  </si>
  <si>
    <t xml:space="preserve">Pro 110A8/110B TL</t>
  </si>
  <si>
    <t xml:space="preserve">https://www.allpneus.com/catalogue/pneus-agricole/galaxy/pneus-industriel-genie-civil/garden-pro/260380 (kg źródłowe; Poids 38,46 kg) [dopasowano 'Garden Pro']</t>
  </si>
  <si>
    <t xml:space="preserve">360/70R24 Galaxy Garden Pro 122A8/122B TL</t>
  </si>
  <si>
    <t xml:space="preserve">360/70R24</t>
  </si>
  <si>
    <t xml:space="preserve">Pro 122A8/122B TL</t>
  </si>
  <si>
    <t xml:space="preserve">https://store.ntstiresupply.com/shop/579779-360-70r24-galaxy-garden-pro-r-3-122a8-100-16771 (121,0 lbs) [dopasowano 'Garden Pro']</t>
  </si>
  <si>
    <t xml:space="preserve">29.5R25 Galaxy HTSR 400 200B/216A2 TL</t>
  </si>
  <si>
    <t xml:space="preserve">29.5R25</t>
  </si>
  <si>
    <t xml:space="preserve">HTSR</t>
  </si>
  <si>
    <t xml:space="preserve">400 200B/216A2 TL</t>
  </si>
  <si>
    <t xml:space="preserve">https://www.gallaghertire.com/galaxy-htsr-400-crc-e4-l4-tl-291675.html (1335,0 lbs) [dopasowano 'HTSR 400']</t>
  </si>
  <si>
    <t xml:space="preserve">17.5-24 Galaxy INDUSTRIAL R-1 12PR TL</t>
  </si>
  <si>
    <t xml:space="preserve">17.5-24</t>
  </si>
  <si>
    <t xml:space="preserve">INDUSTRIAL</t>
  </si>
  <si>
    <t xml:space="preserve">R-1 12PR TL</t>
  </si>
  <si>
    <t xml:space="preserve">17.5R25 Galaxy LDSR 300 182A2/167B TL</t>
  </si>
  <si>
    <t xml:space="preserve">17.5R25</t>
  </si>
  <si>
    <t xml:space="preserve">LDSR</t>
  </si>
  <si>
    <t xml:space="preserve">300 182A2/167B TL</t>
  </si>
  <si>
    <t xml:space="preserve">https://www.gallaghertire.com/galaxy-ldsr-300-e3-l3-tl-299694.html (397,27 lbs) [dopasowano 'LDSR 300']</t>
  </si>
  <si>
    <t xml:space="preserve">20.5R25 Galaxy LDSR 500 193A2 TL</t>
  </si>
  <si>
    <t xml:space="preserve">20.5R25</t>
  </si>
  <si>
    <t xml:space="preserve">500 193A2 TL</t>
  </si>
  <si>
    <t xml:space="preserve">https://www.gallaghertire.com/galaxy-ldsr-300-e3-l3-tl-299691.html (534,6 lbs) [dopasowano 'LDSR 300']</t>
  </si>
  <si>
    <t xml:space="preserve">23.5R25 Galaxy LDSR 500 201A2 TL</t>
  </si>
  <si>
    <t xml:space="preserve">23.5R25</t>
  </si>
  <si>
    <t xml:space="preserve">500 201A2 TL</t>
  </si>
  <si>
    <t xml:space="preserve">https://store.ntstiresupply.com/shop/299698-23-5r25-galaxy-ldsr300-e-3-l-3-2-100-39186 (743,2 lbs) [dopasowano 'LDSR 300']</t>
  </si>
  <si>
    <t xml:space="preserve">17.5-24 Galaxy MIGHTY MOW 8PR TL</t>
  </si>
  <si>
    <t xml:space="preserve">MIGHTY MOW</t>
  </si>
  <si>
    <t xml:space="preserve">8PR TL</t>
  </si>
  <si>
    <t xml:space="preserve">https://www.dawsontireandwheel.com/17-5l-24-3-8-galaxy-mighty-mow-r-3-tl-135433 (168 lbs) [dopasowano 'Mighty Mow R-3']</t>
  </si>
  <si>
    <t xml:space="preserve">44x18.00-20 Galaxy MIGHTY MOW 4PR TL</t>
  </si>
  <si>
    <t xml:space="preserve">44x18.00-20</t>
  </si>
  <si>
    <t xml:space="preserve">4PR TL</t>
  </si>
  <si>
    <t xml:space="preserve">https://store.ntstiresupply.com/shop/135875-44x18-00-20-galaxy-mighty-mow-r-3-b-4-ply-100-38061 (151,0 lbs) [dopasowano 'Mighty Mow R-3']</t>
  </si>
  <si>
    <t xml:space="preserve">440/80R28 Galaxy Multi Tough 156A8 TL demo</t>
  </si>
  <si>
    <t xml:space="preserve">440/80R28</t>
  </si>
  <si>
    <t xml:space="preserve">MULTI TOUGH</t>
  </si>
  <si>
    <t xml:space="preserve">156A8 TL demo</t>
  </si>
  <si>
    <t xml:space="preserve">https://store.ntstiresupply.com/shop/209216-440-80r28-galaxy-multi-tough-156a8-100-38740 (219,0 lbs)</t>
  </si>
  <si>
    <t xml:space="preserve">11.00-20 Galaxy SMOOTH COMPACTOR 18PR TT</t>
  </si>
  <si>
    <t xml:space="preserve">11.00-20</t>
  </si>
  <si>
    <t xml:space="preserve">SMOOTH</t>
  </si>
  <si>
    <t xml:space="preserve">COMPACTOR 18PR TT</t>
  </si>
  <si>
    <t xml:space="preserve">https://www.tires-easy.com/11.00-20/galaxy-tires/smooth-compactor-c-1/tirecode/380331 (SimpleTire/tires-easy, 71 lbs) [dopasowano 'Smooth Compactor C-1']</t>
  </si>
  <si>
    <t xml:space="preserve">14.00-24 Galaxy SUPER TRAC 28PR TT</t>
  </si>
  <si>
    <t xml:space="preserve">14.00-24</t>
  </si>
  <si>
    <t xml:space="preserve">SUPER</t>
  </si>
  <si>
    <t xml:space="preserve">TRAC 28PR TT</t>
  </si>
  <si>
    <t xml:space="preserve">https://www.heuver.com/product/10001820 (kg źródłowe; 142,5 kg) [dopasowano 'Super Trac']</t>
  </si>
  <si>
    <t xml:space="preserve">17.5-24 Galaxy SUPER INDUSTRIAL LUG R-4 12PR TL</t>
  </si>
  <si>
    <t xml:space="preserve">INDUSTRIAL LUG R-4 12PR TL</t>
  </si>
  <si>
    <t xml:space="preserve">https://store.ntstiresupply.com/shop/201435-17-5l-24-galaxy-super-industrial-lug-r-4-f-12-ply-100-38678 (176,0 lbs) [dopasowano 'Super Industrial Lug R-4']</t>
  </si>
  <si>
    <t xml:space="preserve">20.5-25 Galaxy THE GIANT HIPPO 20PR TL</t>
  </si>
  <si>
    <t xml:space="preserve">20.5-25</t>
  </si>
  <si>
    <t xml:space="preserve">THE</t>
  </si>
  <si>
    <t xml:space="preserve">GIANT HIPPO 20PR TL</t>
  </si>
  <si>
    <t xml:space="preserve">https://store.ntstiresupply.com/shop/276469-20-5-25-galaxy-giant-hippo-e-2-l-2-l-20-ply-100-39102 (486,0 lbs) [dopasowano 'The Giant Hippo E-2/L-2']</t>
  </si>
  <si>
    <t xml:space="preserve">25x10.50-15 Galaxy TURF SPECIAL 114A2/100A6 6PR TL</t>
  </si>
  <si>
    <t xml:space="preserve">25x10.50-15</t>
  </si>
  <si>
    <t xml:space="preserve">TURF</t>
  </si>
  <si>
    <t xml:space="preserve">SPECIAL 114A2/100A6 6PR TL</t>
  </si>
  <si>
    <t xml:space="preserve">http://www.galaxyprimex.com/EN/tires/ag/TURF-SPECIAL-R-3%C2%A0.html (kat. 480150; wt 30 lbs) [dopasowano 'Turf Special R-3']</t>
  </si>
  <si>
    <t xml:space="preserve">21x8-9 Galaxy YARD MASTER ULTRA 14PR TT</t>
  </si>
  <si>
    <t xml:space="preserve">21x8-9</t>
  </si>
  <si>
    <t xml:space="preserve">YARD MASTER</t>
  </si>
  <si>
    <t xml:space="preserve">ULTRA 14PR TT</t>
  </si>
  <si>
    <t xml:space="preserve">250-15 Galaxy YARD MASTER ULTRA 16PR TT</t>
  </si>
  <si>
    <t xml:space="preserve">250-15</t>
  </si>
  <si>
    <t xml:space="preserve">ULTRA 16PR TT</t>
  </si>
  <si>
    <t xml:space="preserve">https://store.ntstiresupply.com/shop/250178-250-15-galaxy-yardmaster-set-h-16-ply-100-38922 (59,0 lbs)</t>
  </si>
  <si>
    <t xml:space="preserve">12.00R24 Galaxy YARDMASTER RADIAL 178A5 TL</t>
  </si>
  <si>
    <t xml:space="preserve">12.00R24</t>
  </si>
  <si>
    <t xml:space="preserve">YARDMASTER</t>
  </si>
  <si>
    <t xml:space="preserve">RADIAL 178A5 TL</t>
  </si>
  <si>
    <t xml:space="preserve">https://www.gallaghertire.com/galaxy-yardmaster-radial-tl-250391.html (297,6 lbs) [dopasowano 'Yardmaster Radial']</t>
  </si>
  <si>
    <t xml:space="preserve">250-15 Galaxy YARDMASTER 16PR TT</t>
  </si>
  <si>
    <t xml:space="preserve">16PR TT</t>
  </si>
  <si>
    <t xml:space="preserve">300-15 Galaxy YARDMASTER 20PR TT</t>
  </si>
  <si>
    <t xml:space="preserve">300-15</t>
  </si>
  <si>
    <t xml:space="preserve">20PR TT</t>
  </si>
  <si>
    <t xml:space="preserve">http://www.galaxyprimex.com/EN/tires/material/GALAXY-YARDMASTER-ULTRA.html (kat. 256802; wt 108 lbs) [dopasowano 'Yardmaster (Ultra)']</t>
  </si>
  <si>
    <t xml:space="preserve">300-15 Galaxy YARDMASTER ULTRA 20PR TT</t>
  </si>
  <si>
    <t xml:space="preserve">ULTRA 20PR TT</t>
  </si>
  <si>
    <t xml:space="preserve">5.00-8 Galaxy YARDMASTER 10PR TT</t>
  </si>
  <si>
    <t xml:space="preserve">5.00-8</t>
  </si>
  <si>
    <t xml:space="preserve">10PR TT</t>
  </si>
  <si>
    <t xml:space="preserve">https://store.ntstiresupply.com/shop/256021-5-00-8nhs-galaxy-yardmaster-ultra-nhs-set-e-10-ply-100-38985 (15,0 lbs) [galaxyprimex podaje 16 lbs = 7,26 kg] [dopasowano 'Yardmaster Ultra']</t>
  </si>
  <si>
    <t xml:space="preserve">Wypełnione</t>
  </si>
  <si>
    <t xml:space="preserve">Wszystkie</t>
  </si>
  <si>
    <t xml:space="preserve">% pokrycia</t>
  </si>
  <si>
    <t xml:space="preserve">RAZEM</t>
  </si>
  <si>
    <t xml:space="preserve">Galaxy - wagi opon</t>
  </si>
  <si>
    <t xml:space="preserve">Data przygotowania: 2026-07-14</t>
  </si>
  <si>
    <t xml:space="preserve">Liczba pozycji: 25</t>
  </si>
  <si>
    <t xml:space="preserve">Wypełnione wagi: 22 (88.0%)</t>
  </si>
  <si>
    <t xml:space="preserve">Braki: 3</t>
  </si>
  <si>
    <t xml:space="preserve">Metodologia:</t>
  </si>
  <si>
    <t xml:space="preserve">- Klasyfikacja 25 pozycji Galaxy na 12 serii</t>
  </si>
  <si>
    <t xml:space="preserve">- Zbieranie wag przez subagentów - priorytet oficjalnych PDF i dystrybutorów</t>
  </si>
  <si>
    <t xml:space="preserve">- Weryfikacja: waga = MASA opony (Net weight/Nettogewicht), nie nośność</t>
  </si>
  <si>
    <t xml:space="preserve">- Konwersja funtów: kg = lbs / 2.20462</t>
  </si>
  <si>
    <t xml:space="preserve">Źródła:</t>
  </si>
  <si>
    <t xml:space="preserve">1. bohnenkamp</t>
  </si>
  <si>
    <t xml:space="preserve">2. heuver.com</t>
  </si>
  <si>
    <t xml:space="preserve">3. e-agropneu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</si>
</sst>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BE9E7"/>
        <bgColor rgb="FFF1F8E9"/>
      </patternFill>
    </fill>
    <fill>
      <patternFill patternType="solid">
        <fgColor rgb="FFF1F8E9"/>
        <bgColor rgb="FFE0F2F1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/>
      <c r="H3" s="3"/>
    </row>
    <row r="4" customFormat="false" ht="15" hidden="false" customHeight="false" outlineLevel="0" collapsed="false">
      <c r="B4" s="5" t="n">
        <v>2</v>
      </c>
      <c r="C4" s="6" t="s">
        <v>11</v>
      </c>
      <c r="D4" s="5" t="s">
        <v>12</v>
      </c>
      <c r="E4" s="6" t="s">
        <v>9</v>
      </c>
      <c r="F4" s="6" t="s">
        <v>10</v>
      </c>
      <c r="G4" s="7" t="n">
        <v>14.4</v>
      </c>
      <c r="H4" s="6" t="s">
        <v>13</v>
      </c>
    </row>
    <row r="5" customFormat="false" ht="15" hidden="false" customHeight="false" outlineLevel="0" collapsed="false">
      <c r="B5" s="5" t="n">
        <v>3</v>
      </c>
      <c r="C5" s="6" t="s">
        <v>14</v>
      </c>
      <c r="D5" s="5" t="s">
        <v>15</v>
      </c>
      <c r="E5" s="6" t="s">
        <v>9</v>
      </c>
      <c r="F5" s="6" t="s">
        <v>16</v>
      </c>
      <c r="G5" s="7" t="n">
        <v>10.43</v>
      </c>
      <c r="H5" s="6" t="s">
        <v>17</v>
      </c>
    </row>
    <row r="6" customFormat="false" ht="15" hidden="false" customHeight="false" outlineLevel="0" collapsed="false">
      <c r="B6" s="5" t="n">
        <v>4</v>
      </c>
      <c r="C6" s="6" t="s">
        <v>18</v>
      </c>
      <c r="D6" s="5" t="s">
        <v>19</v>
      </c>
      <c r="E6" s="6" t="s">
        <v>9</v>
      </c>
      <c r="F6" s="6" t="s">
        <v>20</v>
      </c>
      <c r="G6" s="7" t="n">
        <v>38.46</v>
      </c>
      <c r="H6" s="6" t="s">
        <v>21</v>
      </c>
    </row>
    <row r="7" customFormat="false" ht="15" hidden="false" customHeight="false" outlineLevel="0" collapsed="false">
      <c r="B7" s="5" t="n">
        <v>5</v>
      </c>
      <c r="C7" s="6" t="s">
        <v>22</v>
      </c>
      <c r="D7" s="5" t="s">
        <v>23</v>
      </c>
      <c r="E7" s="6" t="s">
        <v>9</v>
      </c>
      <c r="F7" s="6" t="s">
        <v>24</v>
      </c>
      <c r="G7" s="7" t="n">
        <v>54.88</v>
      </c>
      <c r="H7" s="6" t="s">
        <v>25</v>
      </c>
    </row>
    <row r="8" customFormat="false" ht="15" hidden="false" customHeight="false" outlineLevel="0" collapsed="false">
      <c r="B8" s="5" t="n">
        <v>6</v>
      </c>
      <c r="C8" s="6" t="s">
        <v>26</v>
      </c>
      <c r="D8" s="5" t="s">
        <v>27</v>
      </c>
      <c r="E8" s="6" t="s">
        <v>28</v>
      </c>
      <c r="F8" s="6" t="s">
        <v>29</v>
      </c>
      <c r="G8" s="7" t="n">
        <v>605.55</v>
      </c>
      <c r="H8" s="6" t="s">
        <v>30</v>
      </c>
    </row>
    <row r="9" customFormat="false" ht="15" hidden="false" customHeight="false" outlineLevel="0" collapsed="false">
      <c r="B9" s="2" t="n">
        <v>7</v>
      </c>
      <c r="C9" s="3" t="s">
        <v>31</v>
      </c>
      <c r="D9" s="2" t="s">
        <v>32</v>
      </c>
      <c r="E9" s="3" t="s">
        <v>33</v>
      </c>
      <c r="F9" s="3" t="s">
        <v>34</v>
      </c>
      <c r="G9" s="4"/>
      <c r="H9" s="3"/>
    </row>
    <row r="10" customFormat="false" ht="15" hidden="false" customHeight="false" outlineLevel="0" collapsed="false">
      <c r="B10" s="5" t="n">
        <v>8</v>
      </c>
      <c r="C10" s="6" t="s">
        <v>35</v>
      </c>
      <c r="D10" s="5" t="s">
        <v>36</v>
      </c>
      <c r="E10" s="6" t="s">
        <v>37</v>
      </c>
      <c r="F10" s="6" t="s">
        <v>38</v>
      </c>
      <c r="G10" s="7" t="n">
        <v>180.2</v>
      </c>
      <c r="H10" s="6" t="s">
        <v>39</v>
      </c>
    </row>
    <row r="11" customFormat="false" ht="15" hidden="false" customHeight="false" outlineLevel="0" collapsed="false">
      <c r="B11" s="5" t="n">
        <v>9</v>
      </c>
      <c r="C11" s="6" t="s">
        <v>40</v>
      </c>
      <c r="D11" s="5" t="s">
        <v>41</v>
      </c>
      <c r="E11" s="6" t="s">
        <v>37</v>
      </c>
      <c r="F11" s="6" t="s">
        <v>42</v>
      </c>
      <c r="G11" s="7" t="n">
        <v>242.49</v>
      </c>
      <c r="H11" s="6" t="s">
        <v>43</v>
      </c>
    </row>
    <row r="12" customFormat="false" ht="15" hidden="false" customHeight="false" outlineLevel="0" collapsed="false">
      <c r="B12" s="5" t="n">
        <v>10</v>
      </c>
      <c r="C12" s="6" t="s">
        <v>44</v>
      </c>
      <c r="D12" s="5" t="s">
        <v>45</v>
      </c>
      <c r="E12" s="6" t="s">
        <v>37</v>
      </c>
      <c r="F12" s="6" t="s">
        <v>46</v>
      </c>
      <c r="G12" s="7" t="n">
        <v>337.11</v>
      </c>
      <c r="H12" s="6" t="s">
        <v>47</v>
      </c>
    </row>
    <row r="13" customFormat="false" ht="15" hidden="false" customHeight="false" outlineLevel="0" collapsed="false">
      <c r="B13" s="5" t="n">
        <v>11</v>
      </c>
      <c r="C13" s="6" t="s">
        <v>48</v>
      </c>
      <c r="D13" s="5" t="s">
        <v>32</v>
      </c>
      <c r="E13" s="6" t="s">
        <v>49</v>
      </c>
      <c r="F13" s="6" t="s">
        <v>50</v>
      </c>
      <c r="G13" s="7" t="n">
        <v>76.2</v>
      </c>
      <c r="H13" s="6" t="s">
        <v>51</v>
      </c>
    </row>
    <row r="14" customFormat="false" ht="15" hidden="false" customHeight="false" outlineLevel="0" collapsed="false">
      <c r="B14" s="5" t="n">
        <v>12</v>
      </c>
      <c r="C14" s="6" t="s">
        <v>52</v>
      </c>
      <c r="D14" s="5" t="s">
        <v>53</v>
      </c>
      <c r="E14" s="6" t="s">
        <v>49</v>
      </c>
      <c r="F14" s="6" t="s">
        <v>54</v>
      </c>
      <c r="G14" s="7" t="n">
        <v>68.49</v>
      </c>
      <c r="H14" s="6" t="s">
        <v>55</v>
      </c>
    </row>
    <row r="15" customFormat="false" ht="15" hidden="false" customHeight="false" outlineLevel="0" collapsed="false">
      <c r="B15" s="5" t="n">
        <v>13</v>
      </c>
      <c r="C15" s="6" t="s">
        <v>56</v>
      </c>
      <c r="D15" s="5" t="s">
        <v>57</v>
      </c>
      <c r="E15" s="6" t="s">
        <v>58</v>
      </c>
      <c r="F15" s="6" t="s">
        <v>59</v>
      </c>
      <c r="G15" s="7" t="n">
        <v>99.34</v>
      </c>
      <c r="H15" s="6" t="s">
        <v>60</v>
      </c>
    </row>
    <row r="16" customFormat="false" ht="15" hidden="false" customHeight="false" outlineLevel="0" collapsed="false">
      <c r="B16" s="5" t="n">
        <v>14</v>
      </c>
      <c r="C16" s="6" t="s">
        <v>61</v>
      </c>
      <c r="D16" s="5" t="s">
        <v>62</v>
      </c>
      <c r="E16" s="6" t="s">
        <v>63</v>
      </c>
      <c r="F16" s="6" t="s">
        <v>64</v>
      </c>
      <c r="G16" s="7" t="n">
        <v>32.21</v>
      </c>
      <c r="H16" s="6" t="s">
        <v>65</v>
      </c>
    </row>
    <row r="17" customFormat="false" ht="15" hidden="false" customHeight="false" outlineLevel="0" collapsed="false">
      <c r="B17" s="5" t="n">
        <v>15</v>
      </c>
      <c r="C17" s="6" t="s">
        <v>66</v>
      </c>
      <c r="D17" s="5" t="s">
        <v>67</v>
      </c>
      <c r="E17" s="6" t="s">
        <v>68</v>
      </c>
      <c r="F17" s="6" t="s">
        <v>69</v>
      </c>
      <c r="G17" s="7" t="n">
        <v>142.5</v>
      </c>
      <c r="H17" s="6" t="s">
        <v>70</v>
      </c>
    </row>
    <row r="18" customFormat="false" ht="15" hidden="false" customHeight="false" outlineLevel="0" collapsed="false">
      <c r="B18" s="5" t="n">
        <v>16</v>
      </c>
      <c r="C18" s="6" t="s">
        <v>71</v>
      </c>
      <c r="D18" s="5" t="s">
        <v>32</v>
      </c>
      <c r="E18" s="6" t="s">
        <v>68</v>
      </c>
      <c r="F18" s="6" t="s">
        <v>72</v>
      </c>
      <c r="G18" s="7" t="n">
        <v>79.83</v>
      </c>
      <c r="H18" s="6" t="s">
        <v>73</v>
      </c>
    </row>
    <row r="19" customFormat="false" ht="15" hidden="false" customHeight="false" outlineLevel="0" collapsed="false">
      <c r="B19" s="5" t="n">
        <v>17</v>
      </c>
      <c r="C19" s="6" t="s">
        <v>74</v>
      </c>
      <c r="D19" s="5" t="s">
        <v>75</v>
      </c>
      <c r="E19" s="6" t="s">
        <v>76</v>
      </c>
      <c r="F19" s="6" t="s">
        <v>77</v>
      </c>
      <c r="G19" s="7" t="n">
        <v>220.45</v>
      </c>
      <c r="H19" s="6" t="s">
        <v>78</v>
      </c>
    </row>
    <row r="20" customFormat="false" ht="15" hidden="false" customHeight="false" outlineLevel="0" collapsed="false">
      <c r="B20" s="5" t="n">
        <v>18</v>
      </c>
      <c r="C20" s="6" t="s">
        <v>79</v>
      </c>
      <c r="D20" s="5" t="s">
        <v>80</v>
      </c>
      <c r="E20" s="6" t="s">
        <v>81</v>
      </c>
      <c r="F20" s="6" t="s">
        <v>82</v>
      </c>
      <c r="G20" s="7" t="n">
        <v>13.61</v>
      </c>
      <c r="H20" s="6" t="s">
        <v>83</v>
      </c>
    </row>
    <row r="21" customFormat="false" ht="15" hidden="false" customHeight="false" outlineLevel="0" collapsed="false">
      <c r="B21" s="2" t="n">
        <v>19</v>
      </c>
      <c r="C21" s="3" t="s">
        <v>84</v>
      </c>
      <c r="D21" s="2" t="s">
        <v>85</v>
      </c>
      <c r="E21" s="3" t="s">
        <v>86</v>
      </c>
      <c r="F21" s="3" t="s">
        <v>87</v>
      </c>
      <c r="G21" s="4"/>
      <c r="H21" s="3"/>
    </row>
    <row r="22" customFormat="false" ht="15" hidden="false" customHeight="false" outlineLevel="0" collapsed="false">
      <c r="B22" s="5" t="n">
        <v>20</v>
      </c>
      <c r="C22" s="6" t="s">
        <v>88</v>
      </c>
      <c r="D22" s="5" t="s">
        <v>89</v>
      </c>
      <c r="E22" s="6" t="s">
        <v>86</v>
      </c>
      <c r="F22" s="6" t="s">
        <v>90</v>
      </c>
      <c r="G22" s="7" t="n">
        <v>26.76</v>
      </c>
      <c r="H22" s="6" t="s">
        <v>91</v>
      </c>
    </row>
    <row r="23" customFormat="false" ht="15" hidden="false" customHeight="false" outlineLevel="0" collapsed="false">
      <c r="B23" s="5" t="n">
        <v>21</v>
      </c>
      <c r="C23" s="6" t="s">
        <v>92</v>
      </c>
      <c r="D23" s="5" t="s">
        <v>93</v>
      </c>
      <c r="E23" s="6" t="s">
        <v>94</v>
      </c>
      <c r="F23" s="6" t="s">
        <v>95</v>
      </c>
      <c r="G23" s="7" t="n">
        <v>134.99</v>
      </c>
      <c r="H23" s="6" t="s">
        <v>96</v>
      </c>
    </row>
    <row r="24" customFormat="false" ht="15" hidden="false" customHeight="false" outlineLevel="0" collapsed="false">
      <c r="B24" s="5" t="n">
        <v>22</v>
      </c>
      <c r="C24" s="6" t="s">
        <v>97</v>
      </c>
      <c r="D24" s="5" t="s">
        <v>89</v>
      </c>
      <c r="E24" s="6" t="s">
        <v>94</v>
      </c>
      <c r="F24" s="6" t="s">
        <v>98</v>
      </c>
      <c r="G24" s="7" t="n">
        <v>26.76</v>
      </c>
      <c r="H24" s="6" t="s">
        <v>91</v>
      </c>
    </row>
    <row r="25" customFormat="false" ht="15" hidden="false" customHeight="false" outlineLevel="0" collapsed="false">
      <c r="B25" s="5" t="n">
        <v>23</v>
      </c>
      <c r="C25" s="6" t="s">
        <v>99</v>
      </c>
      <c r="D25" s="5" t="s">
        <v>100</v>
      </c>
      <c r="E25" s="6" t="s">
        <v>94</v>
      </c>
      <c r="F25" s="6" t="s">
        <v>101</v>
      </c>
      <c r="G25" s="7" t="n">
        <v>48.99</v>
      </c>
      <c r="H25" s="6" t="s">
        <v>102</v>
      </c>
    </row>
    <row r="26" customFormat="false" ht="15" hidden="false" customHeight="false" outlineLevel="0" collapsed="false">
      <c r="B26" s="5" t="n">
        <v>24</v>
      </c>
      <c r="C26" s="6" t="s">
        <v>103</v>
      </c>
      <c r="D26" s="5" t="s">
        <v>100</v>
      </c>
      <c r="E26" s="6" t="s">
        <v>94</v>
      </c>
      <c r="F26" s="6" t="s">
        <v>104</v>
      </c>
      <c r="G26" s="7" t="n">
        <v>48.99</v>
      </c>
      <c r="H26" s="6" t="s">
        <v>102</v>
      </c>
    </row>
    <row r="27" customFormat="false" ht="15" hidden="false" customHeight="false" outlineLevel="0" collapsed="false">
      <c r="B27" s="5" t="n">
        <v>25</v>
      </c>
      <c r="C27" s="6" t="s">
        <v>105</v>
      </c>
      <c r="D27" s="5" t="s">
        <v>106</v>
      </c>
      <c r="E27" s="6" t="s">
        <v>94</v>
      </c>
      <c r="F27" s="6" t="s">
        <v>107</v>
      </c>
      <c r="G27" s="7" t="n">
        <v>6.8</v>
      </c>
      <c r="H27" s="6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109</v>
      </c>
      <c r="D2" s="8" t="s">
        <v>110</v>
      </c>
      <c r="E2" s="8" t="s">
        <v>111</v>
      </c>
    </row>
    <row r="3" customFormat="false" ht="15" hidden="false" customHeight="false" outlineLevel="0" collapsed="false">
      <c r="B3" s="9" t="s">
        <v>9</v>
      </c>
      <c r="C3" s="10" t="n">
        <v>4</v>
      </c>
      <c r="D3" s="10" t="n">
        <v>5</v>
      </c>
      <c r="E3" s="11" t="n">
        <f aca="false">C3/D3</f>
        <v>0.8</v>
      </c>
    </row>
    <row r="4" customFormat="false" ht="15" hidden="false" customHeight="false" outlineLevel="0" collapsed="false">
      <c r="B4" s="9" t="s">
        <v>94</v>
      </c>
      <c r="C4" s="10" t="n">
        <v>5</v>
      </c>
      <c r="D4" s="10" t="n">
        <v>5</v>
      </c>
      <c r="E4" s="11" t="n">
        <f aca="false">C4/D4</f>
        <v>1</v>
      </c>
    </row>
    <row r="5" customFormat="false" ht="15" hidden="false" customHeight="false" outlineLevel="0" collapsed="false">
      <c r="B5" s="9" t="s">
        <v>37</v>
      </c>
      <c r="C5" s="10" t="n">
        <v>3</v>
      </c>
      <c r="D5" s="10" t="n">
        <v>3</v>
      </c>
      <c r="E5" s="11" t="n">
        <f aca="false">C5/D5</f>
        <v>1</v>
      </c>
    </row>
    <row r="6" customFormat="false" ht="15" hidden="false" customHeight="false" outlineLevel="0" collapsed="false">
      <c r="B6" s="9" t="s">
        <v>49</v>
      </c>
      <c r="C6" s="10" t="n">
        <v>2</v>
      </c>
      <c r="D6" s="10" t="n">
        <v>2</v>
      </c>
      <c r="E6" s="11" t="n">
        <f aca="false">C6/D6</f>
        <v>1</v>
      </c>
    </row>
    <row r="7" customFormat="false" ht="15" hidden="false" customHeight="false" outlineLevel="0" collapsed="false">
      <c r="B7" s="9" t="s">
        <v>68</v>
      </c>
      <c r="C7" s="10" t="n">
        <v>2</v>
      </c>
      <c r="D7" s="10" t="n">
        <v>2</v>
      </c>
      <c r="E7" s="11" t="n">
        <f aca="false">C7/D7</f>
        <v>1</v>
      </c>
    </row>
    <row r="8" customFormat="false" ht="15" hidden="false" customHeight="false" outlineLevel="0" collapsed="false">
      <c r="B8" s="9" t="s">
        <v>86</v>
      </c>
      <c r="C8" s="10" t="n">
        <v>1</v>
      </c>
      <c r="D8" s="10" t="n">
        <v>2</v>
      </c>
      <c r="E8" s="11" t="n">
        <f aca="false">C8/D8</f>
        <v>0.5</v>
      </c>
    </row>
    <row r="9" customFormat="false" ht="15" hidden="false" customHeight="false" outlineLevel="0" collapsed="false">
      <c r="B9" s="9" t="s">
        <v>28</v>
      </c>
      <c r="C9" s="10" t="n">
        <v>1</v>
      </c>
      <c r="D9" s="10" t="n">
        <v>1</v>
      </c>
      <c r="E9" s="11" t="n">
        <f aca="false">C9/D9</f>
        <v>1</v>
      </c>
    </row>
    <row r="10" customFormat="false" ht="15" hidden="false" customHeight="false" outlineLevel="0" collapsed="false">
      <c r="B10" s="9" t="s">
        <v>63</v>
      </c>
      <c r="C10" s="10" t="n">
        <v>1</v>
      </c>
      <c r="D10" s="10" t="n">
        <v>1</v>
      </c>
      <c r="E10" s="11" t="n">
        <f aca="false">C10/D10</f>
        <v>1</v>
      </c>
    </row>
    <row r="11" customFormat="false" ht="15" hidden="false" customHeight="false" outlineLevel="0" collapsed="false">
      <c r="B11" s="9" t="s">
        <v>33</v>
      </c>
      <c r="C11" s="10" t="n">
        <v>0</v>
      </c>
      <c r="D11" s="10" t="n">
        <v>1</v>
      </c>
      <c r="E11" s="11" t="n">
        <f aca="false">C11/D11</f>
        <v>0</v>
      </c>
    </row>
    <row r="12" customFormat="false" ht="15" hidden="false" customHeight="false" outlineLevel="0" collapsed="false">
      <c r="B12" s="9" t="s">
        <v>58</v>
      </c>
      <c r="C12" s="10" t="n">
        <v>1</v>
      </c>
      <c r="D12" s="10" t="n">
        <v>1</v>
      </c>
      <c r="E12" s="11" t="n">
        <f aca="false">C12/D12</f>
        <v>1</v>
      </c>
    </row>
    <row r="13" customFormat="false" ht="15" hidden="false" customHeight="false" outlineLevel="0" collapsed="false">
      <c r="B13" s="9" t="s">
        <v>76</v>
      </c>
      <c r="C13" s="10" t="n">
        <v>1</v>
      </c>
      <c r="D13" s="10" t="n">
        <v>1</v>
      </c>
      <c r="E13" s="11" t="n">
        <f aca="false">C13/D13</f>
        <v>1</v>
      </c>
    </row>
    <row r="14" customFormat="false" ht="15" hidden="false" customHeight="false" outlineLevel="0" collapsed="false">
      <c r="B14" s="9" t="s">
        <v>81</v>
      </c>
      <c r="C14" s="10" t="n">
        <v>1</v>
      </c>
      <c r="D14" s="10" t="n">
        <v>1</v>
      </c>
      <c r="E14" s="11" t="n">
        <f aca="false">C14/D14</f>
        <v>1</v>
      </c>
    </row>
    <row r="15" customFormat="false" ht="15" hidden="false" customHeight="false" outlineLevel="0" collapsed="false">
      <c r="B15" s="12" t="s">
        <v>112</v>
      </c>
      <c r="C15" s="13" t="n">
        <f aca="false">SUM(C3:C14)</f>
        <v>22</v>
      </c>
      <c r="D15" s="13" t="n">
        <f aca="false">SUM(D3:D14)</f>
        <v>25</v>
      </c>
      <c r="E15" s="14" t="n">
        <f aca="false">C15/D15</f>
        <v>0.88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113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114</v>
      </c>
    </row>
    <row r="5" customFormat="false" ht="15" hidden="false" customHeight="false" outlineLevel="0" collapsed="false">
      <c r="B5" s="16" t="s">
        <v>115</v>
      </c>
    </row>
    <row r="6" customFormat="false" ht="15" hidden="false" customHeight="false" outlineLevel="0" collapsed="false">
      <c r="B6" s="16" t="s">
        <v>116</v>
      </c>
    </row>
    <row r="7" customFormat="false" ht="15" hidden="false" customHeight="false" outlineLevel="0" collapsed="false">
      <c r="B7" s="16" t="s">
        <v>117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118</v>
      </c>
    </row>
    <row r="10" customFormat="false" ht="15" hidden="false" customHeight="false" outlineLevel="0" collapsed="false">
      <c r="B10" s="16" t="s">
        <v>119</v>
      </c>
    </row>
    <row r="11" customFormat="false" ht="15" hidden="false" customHeight="false" outlineLevel="0" collapsed="false">
      <c r="B11" s="16" t="s">
        <v>120</v>
      </c>
    </row>
    <row r="12" customFormat="false" ht="15" hidden="false" customHeight="false" outlineLevel="0" collapsed="false">
      <c r="B12" s="16" t="s">
        <v>121</v>
      </c>
    </row>
    <row r="13" customFormat="false" ht="15" hidden="false" customHeight="false" outlineLevel="0" collapsed="false">
      <c r="B13" s="16" t="s">
        <v>122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5" t="s">
        <v>123</v>
      </c>
    </row>
    <row r="16" customFormat="false" ht="15" hidden="false" customHeight="false" outlineLevel="0" collapsed="false">
      <c r="B16" s="16" t="s">
        <v>124</v>
      </c>
    </row>
    <row r="17" customFormat="false" ht="15" hidden="false" customHeight="false" outlineLevel="0" collapsed="false">
      <c r="B17" s="16" t="s">
        <v>125</v>
      </c>
    </row>
    <row r="18" customFormat="false" ht="15" hidden="false" customHeight="false" outlineLevel="0" collapsed="false">
      <c r="B18" s="16" t="s">
        <v>126</v>
      </c>
    </row>
    <row r="19" customFormat="false" ht="15" hidden="false" customHeight="false" outlineLevel="0" collapsed="false">
      <c r="B1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2026-07-14T13:36:49Z</dcterms:created>
  <dc:creator>openpyxl</dc:creator>
  <dc:description/>
  <dc:language>en-US</dc:language>
  <cp:lastModifiedBy/>
  <dcterms:modified xsi:type="dcterms:W3CDTF">2026-07-14T13:36:49Z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