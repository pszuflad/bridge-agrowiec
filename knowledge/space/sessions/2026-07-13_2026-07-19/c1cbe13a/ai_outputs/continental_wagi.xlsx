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inental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<sst xmlns="http://schemas.openxmlformats.org/spreadsheetml/2006/main" count="230" uniqueCount="146">
  <si>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</si>
  <si>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</si>
  <si>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</si>
  <si>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</si>
  <si>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</si>
  <si>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</si>
  <si>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</si>
  <si>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600/65R34 Continental 151D/154A8 TL</t>
  </si>
  <si>
    <t xml:space="preserve">600/65R34</t>
  </si>
  <si>
    <t xml:space="preserve">151D/154A8</t>
  </si>
  <si>
    <t xml:space="preserve">TL</t>
  </si>
  <si>
    <t xml:space="preserve">600/70R30 Continental 152D/155A8 TL</t>
  </si>
  <si>
    <t xml:space="preserve">600/70R30</t>
  </si>
  <si>
    <t xml:space="preserve">152D/155A8</t>
  </si>
  <si>
    <t xml:space="preserve">460/70R24 Continental 159A8/159B TL</t>
  </si>
  <si>
    <t xml:space="preserve">460/70R24</t>
  </si>
  <si>
    <t xml:space="preserve">159A8/159B</t>
  </si>
  <si>
    <t xml:space="preserve">500/70R24 Continental 164A8/164B TL</t>
  </si>
  <si>
    <t xml:space="preserve">500/70R24</t>
  </si>
  <si>
    <t xml:space="preserve">164A8/164B</t>
  </si>
  <si>
    <t xml:space="preserve">650/75R38 Continental 169D/172A8 TL</t>
  </si>
  <si>
    <t xml:space="preserve">650/75R38</t>
  </si>
  <si>
    <t xml:space="preserve">169D/172A8</t>
  </si>
  <si>
    <t xml:space="preserve">900/60R38 Continental 178D/181A8 TL</t>
  </si>
  <si>
    <t xml:space="preserve">900/60R38</t>
  </si>
  <si>
    <t xml:space="preserve">178D/181A8</t>
  </si>
  <si>
    <t xml:space="preserve">800/70R32 Continental 181A8/181B TL</t>
  </si>
  <si>
    <t xml:space="preserve">800/70R32</t>
  </si>
  <si>
    <t xml:space="preserve">181A8/181B</t>
  </si>
  <si>
    <t xml:space="preserve">17.5R24 Continental COMPACTMASTER EM 159A8/159B TL</t>
  </si>
  <si>
    <t xml:space="preserve">17.5R24</t>
  </si>
  <si>
    <t xml:space="preserve">COMPACTMASTER</t>
  </si>
  <si>
    <t xml:space="preserve">EM 159A8/159B TL</t>
  </si>
  <si>
    <t xml:space="preserve">315/60R22.5 Continental CONTI ECO HS 5 154/150L 3PMSF M+S FRONT</t>
  </si>
  <si>
    <t xml:space="preserve">315/60R22.5</t>
  </si>
  <si>
    <t xml:space="preserve">CONTI</t>
  </si>
  <si>
    <t xml:space="preserve">ECO HS 5 154/150L 3PMSF M+S FRONT</t>
  </si>
  <si>
    <t xml:space="preserve">385/65R22.5 Continental Conti CrossTrac HS3 164K 20PR 3PMSF M+S FRONT</t>
  </si>
  <si>
    <t xml:space="preserve">385/65R22.5</t>
  </si>
  <si>
    <t xml:space="preserve">CrossTrac HS3 164K 20PR 3PMSF M+S FRONT</t>
  </si>
  <si>
    <t xml:space="preserve">385/65R22.5 Continental CONTI ECO HS 5 164K 3PMSF M+S FRONT</t>
  </si>
  <si>
    <t xml:space="preserve">ECO HS 5 164K 3PMSF M+S FRONT</t>
  </si>
  <si>
    <t xml:space="preserve">18x7-8 Continental CS20</t>
  </si>
  <si>
    <t xml:space="preserve">18x7-8</t>
  </si>
  <si>
    <t xml:space="preserve">CS20</t>
  </si>
  <si>
    <t xml:space="preserve">5.00-8 Continental IC10 106A5 8PR TT</t>
  </si>
  <si>
    <t xml:space="preserve">5.00-8</t>
  </si>
  <si>
    <t xml:space="preserve">IC10</t>
  </si>
  <si>
    <t xml:space="preserve">106A5 8PR TT</t>
  </si>
  <si>
    <t xml:space="preserve">https://casingjockey.wordpress.com/wp-content/uploads/2018/10/continental-2018-otr-tire-data-book.pdf</t>
  </si>
  <si>
    <t xml:space="preserve">7.00-12 Continental IC10 136A5 16PR TT</t>
  </si>
  <si>
    <t xml:space="preserve">7.00-12</t>
  </si>
  <si>
    <t xml:space="preserve">136A5 16PR TT</t>
  </si>
  <si>
    <t xml:space="preserve">300-15 Continental IC12 165A5 22PR</t>
  </si>
  <si>
    <t xml:space="preserve">300-15</t>
  </si>
  <si>
    <t xml:space="preserve">IC12</t>
  </si>
  <si>
    <t xml:space="preserve">165A5 22PR</t>
  </si>
  <si>
    <t xml:space="preserve">18x7-8 Continental IC40 125A5 16PR TT</t>
  </si>
  <si>
    <t xml:space="preserve">IC40</t>
  </si>
  <si>
    <t xml:space="preserve">125A5 16PR TT</t>
  </si>
  <si>
    <t xml:space="preserve">23x9-10 Continental IC40 142A5 20PR TT</t>
  </si>
  <si>
    <t xml:space="preserve">23x9-10</t>
  </si>
  <si>
    <t xml:space="preserve">142A5 20PR TT</t>
  </si>
  <si>
    <t xml:space="preserve">27x10-12 Continental IC40 152A5 20PR TT</t>
  </si>
  <si>
    <t xml:space="preserve">27x10-12</t>
  </si>
  <si>
    <t xml:space="preserve">152A5 20PR TT</t>
  </si>
  <si>
    <t xml:space="preserve">28x9-15 Continental IC40 146A5 14PR TT</t>
  </si>
  <si>
    <t xml:space="preserve">28x9-15</t>
  </si>
  <si>
    <t xml:space="preserve">146A5 14PR TT</t>
  </si>
  <si>
    <t xml:space="preserve">300-15 Continental IC40 165A5 22PR TT</t>
  </si>
  <si>
    <t xml:space="preserve">165A5 22PR TT</t>
  </si>
  <si>
    <t xml:space="preserve">355/65-15 Continental IC40 170A5 24PR TL</t>
  </si>
  <si>
    <t xml:space="preserve">355/65-15</t>
  </si>
  <si>
    <t xml:space="preserve">170A5 24PR TL</t>
  </si>
  <si>
    <t xml:space="preserve">7.00-12 Continental IC40 136A5 16PR TT</t>
  </si>
  <si>
    <t xml:space="preserve">8.25-15 Continental IC40 153A5 18PR TT</t>
  </si>
  <si>
    <t xml:space="preserve">8.25-15</t>
  </si>
  <si>
    <t xml:space="preserve">153A5 18PR TT</t>
  </si>
  <si>
    <t xml:space="preserve">10R17.5 Continental LDR1 134/132L 3PMSF DRIVE</t>
  </si>
  <si>
    <t xml:space="preserve">10R17.5</t>
  </si>
  <si>
    <t xml:space="preserve">LDR1</t>
  </si>
  <si>
    <t xml:space="preserve">134/132L 3PMSF DRIVE</t>
  </si>
  <si>
    <t xml:space="preserve">365/80R20 Continental MPT81 152K TL</t>
  </si>
  <si>
    <t xml:space="preserve">365/80R20</t>
  </si>
  <si>
    <t xml:space="preserve">MPT81</t>
  </si>
  <si>
    <t xml:space="preserve">152K TL</t>
  </si>
  <si>
    <t xml:space="preserve">https://onlineshop.bohnenkamp-suisse.ch/de/reifen-continental-mpt-81-365-80-r-20-10966410</t>
  </si>
  <si>
    <t xml:space="preserve">125/75-8 Continental SC20</t>
  </si>
  <si>
    <t xml:space="preserve">125/75-8</t>
  </si>
  <si>
    <t xml:space="preserve">SC20</t>
  </si>
  <si>
    <t xml:space="preserve">140/55-9 Continental SC20</t>
  </si>
  <si>
    <t xml:space="preserve">140/55-9</t>
  </si>
  <si>
    <t xml:space="preserve">180/60-10 Continental SC20</t>
  </si>
  <si>
    <t xml:space="preserve">180/60-10</t>
  </si>
  <si>
    <t xml:space="preserve">https://cascadiatire.com/displayItem.cfm?skuID=260</t>
  </si>
  <si>
    <t xml:space="preserve">18x7-8 Continental SC20 MILEAGE+</t>
  </si>
  <si>
    <t xml:space="preserve">MILEAGE+</t>
  </si>
  <si>
    <t xml:space="preserve">21x8-9 Continental SC20</t>
  </si>
  <si>
    <t xml:space="preserve">21x8-9</t>
  </si>
  <si>
    <t xml:space="preserve">23x10-12 Continental SC20</t>
  </si>
  <si>
    <t xml:space="preserve">23x10-12</t>
  </si>
  <si>
    <t xml:space="preserve">23x9-10 Continental SC20</t>
  </si>
  <si>
    <t xml:space="preserve">27x10-12 Continental SC20</t>
  </si>
  <si>
    <t xml:space="preserve">300-15 Continental SC20 STD MILEAGE+</t>
  </si>
  <si>
    <t xml:space="preserve">STD MILEAGE+</t>
  </si>
  <si>
    <t xml:space="preserve">125/75-8 Continental SC20+</t>
  </si>
  <si>
    <t xml:space="preserve">SC20+</t>
  </si>
  <si>
    <t xml:space="preserve">150/75-8 Continental SC20+</t>
  </si>
  <si>
    <t xml:space="preserve">150/75-8</t>
  </si>
  <si>
    <t xml:space="preserve">27x10-12 Continental SC20+</t>
  </si>
  <si>
    <t xml:space="preserve">28x9-15 Continental SC20+</t>
  </si>
  <si>
    <t xml:space="preserve">300-15 Continental SC20+ SIT</t>
  </si>
  <si>
    <t xml:space="preserve">SIT</t>
  </si>
  <si>
    <t xml:space="preserve">8.25-15 Continental SC20+ STD 153A5</t>
  </si>
  <si>
    <t xml:space="preserve">STD 153A5</t>
  </si>
  <si>
    <t xml:space="preserve">https://uptire.ru/shiny/1493-shina-825-15-162a2-cse-robust-sc20-s-mile-65-continental.html</t>
  </si>
  <si>
    <t xml:space="preserve">600/65R28 Continental TRACTOR MASTER 154D/157A8 TL</t>
  </si>
  <si>
    <t xml:space="preserve">600/65R28</t>
  </si>
  <si>
    <t xml:space="preserve">TRACTOR</t>
  </si>
  <si>
    <t xml:space="preserve">MASTER 154D/157A8 TL</t>
  </si>
  <si>
    <t xml:space="preserve">420/90R30 Continental Tractor 85 147A8/147B TL</t>
  </si>
  <si>
    <t xml:space="preserve">420/90R30</t>
  </si>
  <si>
    <t xml:space="preserve">TRACTOR 85</t>
  </si>
  <si>
    <t xml:space="preserve">147A8/147B TL</t>
  </si>
  <si>
    <t xml:space="preserve">https://cascadiatire.com/displayItem.cfm?skuID=6118</t>
  </si>
  <si>
    <t xml:space="preserve">520/85R46 Continental Tractor 85 158A8/158B TL</t>
  </si>
  <si>
    <t xml:space="preserve">520/85R46</t>
  </si>
  <si>
    <t xml:space="preserve">158A8/158B TL</t>
  </si>
  <si>
    <t xml:space="preserve">Wypełnione</t>
  </si>
  <si>
    <t xml:space="preserve">Wszystkie</t>
  </si>
  <si>
    <t xml:space="preserve">% pokrycia</t>
  </si>
  <si>
    <t xml:space="preserve">RAZEM</t>
  </si>
  <si>
    <t xml:space="preserve">Continental - wagi opon</t>
  </si>
  <si>
    <t xml:space="preserve">Data przygotowania: 2026-07-14</t>
  </si>
  <si>
    <t xml:space="preserve">Liczba pozycji: 43</t>
  </si>
  <si>
    <t xml:space="preserve">Wypełnione wagi: 25 (58.1%)</t>
  </si>
  <si>
    <t xml:space="preserve">Braki: 18</t>
  </si>
  <si>
    <t xml:space="preserve">Metodologia:</t>
  </si>
  <si>
    <t xml:space="preserve">- Klasyfikacja 43 pozycji Continental na 19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</si>
  <si>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</si>
  <si>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</si>
  <si>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</si>
  <si>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</si>
  <si>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bohnenkamp</t>
  </si>
  <si>
    <t xml:space="preserve">2. heuver.com</t>
  </si>
  <si>
    <t xml:space="preserve">3. e-agropneu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</si>
</sst>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E9E7"/>
        <bgColor rgb="FFF1F8E9"/>
      </patternFill>
    </fill>
    <fill>
      <patternFill patternType="solid">
        <fgColor rgb="FFF1F8E9"/>
        <bgColor rgb="FFE0F2F1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/>
      <c r="H3" s="3"/>
    </row>
    <row r="4" customFormat="false" ht="15" hidden="false" customHeight="false" outlineLevel="0" collapsed="false">
      <c r="B4" s="2" t="n">
        <v>2</v>
      </c>
      <c r="C4" s="3" t="s">
        <v>11</v>
      </c>
      <c r="D4" s="2" t="s">
        <v>12</v>
      </c>
      <c r="E4" s="3" t="s">
        <v>13</v>
      </c>
      <c r="F4" s="3" t="s">
        <v>10</v>
      </c>
      <c r="G4" s="4"/>
      <c r="H4" s="3"/>
    </row>
    <row r="5" customFormat="false" ht="15" hidden="false" customHeight="false" outlineLevel="0" collapsed="false">
      <c r="B5" s="2" t="n">
        <v>3</v>
      </c>
      <c r="C5" s="3" t="s">
        <v>14</v>
      </c>
      <c r="D5" s="2" t="s">
        <v>15</v>
      </c>
      <c r="E5" s="3" t="s">
        <v>16</v>
      </c>
      <c r="F5" s="3" t="s">
        <v>10</v>
      </c>
      <c r="G5" s="4"/>
      <c r="H5" s="3"/>
    </row>
    <row r="6" customFormat="false" ht="15" hidden="false" customHeight="false" outlineLevel="0" collapsed="false">
      <c r="B6" s="2" t="n">
        <v>4</v>
      </c>
      <c r="C6" s="3" t="s">
        <v>17</v>
      </c>
      <c r="D6" s="2" t="s">
        <v>18</v>
      </c>
      <c r="E6" s="3" t="s">
        <v>19</v>
      </c>
      <c r="F6" s="3" t="s">
        <v>10</v>
      </c>
      <c r="G6" s="4"/>
      <c r="H6" s="3"/>
    </row>
    <row r="7" customFormat="false" ht="15" hidden="false" customHeight="false" outlineLevel="0" collapsed="false">
      <c r="B7" s="2" t="n">
        <v>5</v>
      </c>
      <c r="C7" s="3" t="s">
        <v>20</v>
      </c>
      <c r="D7" s="2" t="s">
        <v>21</v>
      </c>
      <c r="E7" s="3" t="s">
        <v>22</v>
      </c>
      <c r="F7" s="3" t="s">
        <v>10</v>
      </c>
      <c r="G7" s="4"/>
      <c r="H7" s="3"/>
    </row>
    <row r="8" customFormat="false" ht="15" hidden="false" customHeight="false" outlineLevel="0" collapsed="false">
      <c r="B8" s="2" t="n">
        <v>6</v>
      </c>
      <c r="C8" s="3" t="s">
        <v>23</v>
      </c>
      <c r="D8" s="2" t="s">
        <v>24</v>
      </c>
      <c r="E8" s="3" t="s">
        <v>25</v>
      </c>
      <c r="F8" s="3" t="s">
        <v>10</v>
      </c>
      <c r="G8" s="4"/>
      <c r="H8" s="3"/>
    </row>
    <row r="9" customFormat="false" ht="15" hidden="false" customHeight="false" outlineLevel="0" collapsed="false">
      <c r="B9" s="2" t="n">
        <v>7</v>
      </c>
      <c r="C9" s="3" t="s">
        <v>26</v>
      </c>
      <c r="D9" s="2" t="s">
        <v>27</v>
      </c>
      <c r="E9" s="3" t="s">
        <v>28</v>
      </c>
      <c r="F9" s="3" t="s">
        <v>10</v>
      </c>
      <c r="G9" s="4"/>
      <c r="H9" s="3"/>
    </row>
    <row r="10" customFormat="false" ht="15" hidden="false" customHeight="false" outlineLevel="0" collapsed="false">
      <c r="B10" s="2" t="n">
        <v>8</v>
      </c>
      <c r="C10" s="3" t="s">
        <v>29</v>
      </c>
      <c r="D10" s="2" t="s">
        <v>30</v>
      </c>
      <c r="E10" s="3" t="s">
        <v>31</v>
      </c>
      <c r="F10" s="3" t="s">
        <v>32</v>
      </c>
      <c r="G10" s="4"/>
      <c r="H10" s="3"/>
    </row>
    <row r="11" customFormat="false" ht="15" hidden="false" customHeight="false" outlineLevel="0" collapsed="false">
      <c r="B11" s="2" t="n">
        <v>9</v>
      </c>
      <c r="C11" s="3" t="s">
        <v>33</v>
      </c>
      <c r="D11" s="2" t="s">
        <v>34</v>
      </c>
      <c r="E11" s="3" t="s">
        <v>35</v>
      </c>
      <c r="F11" s="3" t="s">
        <v>36</v>
      </c>
      <c r="G11" s="4"/>
      <c r="H11" s="3"/>
    </row>
    <row r="12" customFormat="false" ht="15" hidden="false" customHeight="false" outlineLevel="0" collapsed="false">
      <c r="B12" s="2" t="n">
        <v>10</v>
      </c>
      <c r="C12" s="3" t="s">
        <v>37</v>
      </c>
      <c r="D12" s="2" t="s">
        <v>38</v>
      </c>
      <c r="E12" s="3" t="s">
        <v>35</v>
      </c>
      <c r="F12" s="3" t="s">
        <v>39</v>
      </c>
      <c r="G12" s="4"/>
      <c r="H12" s="3"/>
    </row>
    <row r="13" customFormat="false" ht="15" hidden="false" customHeight="false" outlineLevel="0" collapsed="false">
      <c r="B13" s="2" t="n">
        <v>11</v>
      </c>
      <c r="C13" s="3" t="s">
        <v>40</v>
      </c>
      <c r="D13" s="2" t="s">
        <v>38</v>
      </c>
      <c r="E13" s="3" t="s">
        <v>35</v>
      </c>
      <c r="F13" s="3" t="s">
        <v>41</v>
      </c>
      <c r="G13" s="4"/>
      <c r="H13" s="3"/>
    </row>
    <row r="14" customFormat="false" ht="15" hidden="false" customHeight="false" outlineLevel="0" collapsed="false">
      <c r="B14" s="2" t="n">
        <v>12</v>
      </c>
      <c r="C14" s="3" t="s">
        <v>42</v>
      </c>
      <c r="D14" s="2" t="s">
        <v>43</v>
      </c>
      <c r="E14" s="3" t="s">
        <v>44</v>
      </c>
      <c r="F14" s="3"/>
      <c r="G14" s="4"/>
      <c r="H14" s="3"/>
    </row>
    <row r="15" customFormat="false" ht="15" hidden="false" customHeight="false" outlineLevel="0" collapsed="false">
      <c r="B15" s="5" t="n">
        <v>13</v>
      </c>
      <c r="C15" s="6" t="s">
        <v>45</v>
      </c>
      <c r="D15" s="5" t="s">
        <v>46</v>
      </c>
      <c r="E15" s="6" t="s">
        <v>47</v>
      </c>
      <c r="F15" s="6" t="s">
        <v>48</v>
      </c>
      <c r="G15" s="7" t="n">
        <v>4.5</v>
      </c>
      <c r="H15" s="6" t="s">
        <v>49</v>
      </c>
    </row>
    <row r="16" customFormat="false" ht="15" hidden="false" customHeight="false" outlineLevel="0" collapsed="false">
      <c r="B16" s="5" t="n">
        <v>14</v>
      </c>
      <c r="C16" s="6" t="s">
        <v>50</v>
      </c>
      <c r="D16" s="5" t="s">
        <v>51</v>
      </c>
      <c r="E16" s="6" t="s">
        <v>47</v>
      </c>
      <c r="F16" s="6" t="s">
        <v>52</v>
      </c>
      <c r="G16" s="7" t="n">
        <v>11.4</v>
      </c>
      <c r="H16" s="6" t="s">
        <v>49</v>
      </c>
    </row>
    <row r="17" customFormat="false" ht="15" hidden="false" customHeight="false" outlineLevel="0" collapsed="false">
      <c r="B17" s="5" t="n">
        <v>15</v>
      </c>
      <c r="C17" s="6" t="s">
        <v>53</v>
      </c>
      <c r="D17" s="5" t="s">
        <v>54</v>
      </c>
      <c r="E17" s="6" t="s">
        <v>55</v>
      </c>
      <c r="F17" s="6" t="s">
        <v>56</v>
      </c>
      <c r="G17" s="7" t="n">
        <v>10</v>
      </c>
      <c r="H17" s="6" t="s">
        <v>49</v>
      </c>
    </row>
    <row r="18" customFormat="false" ht="15" hidden="false" customHeight="false" outlineLevel="0" collapsed="false">
      <c r="B18" s="5" t="n">
        <v>16</v>
      </c>
      <c r="C18" s="6" t="s">
        <v>57</v>
      </c>
      <c r="D18" s="5" t="s">
        <v>43</v>
      </c>
      <c r="E18" s="6" t="s">
        <v>58</v>
      </c>
      <c r="F18" s="6" t="s">
        <v>59</v>
      </c>
      <c r="G18" s="7" t="n">
        <v>8.5</v>
      </c>
      <c r="H18" s="6" t="s">
        <v>49</v>
      </c>
    </row>
    <row r="19" customFormat="false" ht="15" hidden="false" customHeight="false" outlineLevel="0" collapsed="false">
      <c r="B19" s="5" t="n">
        <v>17</v>
      </c>
      <c r="C19" s="6" t="s">
        <v>60</v>
      </c>
      <c r="D19" s="5" t="s">
        <v>61</v>
      </c>
      <c r="E19" s="6" t="s">
        <v>58</v>
      </c>
      <c r="F19" s="6" t="s">
        <v>62</v>
      </c>
      <c r="G19" s="7" t="n">
        <v>19.4</v>
      </c>
      <c r="H19" s="6" t="s">
        <v>49</v>
      </c>
    </row>
    <row r="20" customFormat="false" ht="15" hidden="false" customHeight="false" outlineLevel="0" collapsed="false">
      <c r="B20" s="5" t="n">
        <v>18</v>
      </c>
      <c r="C20" s="6" t="s">
        <v>63</v>
      </c>
      <c r="D20" s="5" t="s">
        <v>64</v>
      </c>
      <c r="E20" s="6" t="s">
        <v>58</v>
      </c>
      <c r="F20" s="6" t="s">
        <v>65</v>
      </c>
      <c r="G20" s="7" t="n">
        <v>25.6</v>
      </c>
      <c r="H20" s="6" t="s">
        <v>49</v>
      </c>
    </row>
    <row r="21" customFormat="false" ht="15" hidden="false" customHeight="false" outlineLevel="0" collapsed="false">
      <c r="B21" s="5" t="n">
        <v>19</v>
      </c>
      <c r="C21" s="6" t="s">
        <v>66</v>
      </c>
      <c r="D21" s="5" t="s">
        <v>67</v>
      </c>
      <c r="E21" s="6" t="s">
        <v>58</v>
      </c>
      <c r="F21" s="6" t="s">
        <v>68</v>
      </c>
      <c r="G21" s="7" t="n">
        <v>20.2</v>
      </c>
      <c r="H21" s="6" t="s">
        <v>49</v>
      </c>
    </row>
    <row r="22" customFormat="false" ht="15" hidden="false" customHeight="false" outlineLevel="0" collapsed="false">
      <c r="B22" s="5" t="n">
        <v>20</v>
      </c>
      <c r="C22" s="6" t="s">
        <v>69</v>
      </c>
      <c r="D22" s="5" t="s">
        <v>54</v>
      </c>
      <c r="E22" s="6" t="s">
        <v>58</v>
      </c>
      <c r="F22" s="6" t="s">
        <v>70</v>
      </c>
      <c r="G22" s="7" t="n">
        <v>41.6</v>
      </c>
      <c r="H22" s="6" t="s">
        <v>49</v>
      </c>
    </row>
    <row r="23" customFormat="false" ht="15" hidden="false" customHeight="false" outlineLevel="0" collapsed="false">
      <c r="B23" s="5" t="n">
        <v>21</v>
      </c>
      <c r="C23" s="6" t="s">
        <v>71</v>
      </c>
      <c r="D23" s="5" t="s">
        <v>72</v>
      </c>
      <c r="E23" s="6" t="s">
        <v>58</v>
      </c>
      <c r="F23" s="6" t="s">
        <v>73</v>
      </c>
      <c r="G23" s="7" t="n">
        <v>62.4</v>
      </c>
      <c r="H23" s="6" t="s">
        <v>49</v>
      </c>
    </row>
    <row r="24" customFormat="false" ht="15" hidden="false" customHeight="false" outlineLevel="0" collapsed="false">
      <c r="B24" s="5" t="n">
        <v>22</v>
      </c>
      <c r="C24" s="6" t="s">
        <v>74</v>
      </c>
      <c r="D24" s="5" t="s">
        <v>51</v>
      </c>
      <c r="E24" s="6" t="s">
        <v>58</v>
      </c>
      <c r="F24" s="6" t="s">
        <v>52</v>
      </c>
      <c r="G24" s="7" t="n">
        <v>17</v>
      </c>
      <c r="H24" s="6" t="s">
        <v>49</v>
      </c>
    </row>
    <row r="25" customFormat="false" ht="15" hidden="false" customHeight="false" outlineLevel="0" collapsed="false">
      <c r="B25" s="5" t="n">
        <v>23</v>
      </c>
      <c r="C25" s="6" t="s">
        <v>75</v>
      </c>
      <c r="D25" s="5" t="s">
        <v>76</v>
      </c>
      <c r="E25" s="6" t="s">
        <v>58</v>
      </c>
      <c r="F25" s="6" t="s">
        <v>77</v>
      </c>
      <c r="G25" s="7" t="n">
        <v>32.6</v>
      </c>
      <c r="H25" s="6" t="s">
        <v>49</v>
      </c>
    </row>
    <row r="26" customFormat="false" ht="15" hidden="false" customHeight="false" outlineLevel="0" collapsed="false">
      <c r="B26" s="2" t="n">
        <v>24</v>
      </c>
      <c r="C26" s="3" t="s">
        <v>78</v>
      </c>
      <c r="D26" s="2" t="s">
        <v>79</v>
      </c>
      <c r="E26" s="3" t="s">
        <v>80</v>
      </c>
      <c r="F26" s="3" t="s">
        <v>81</v>
      </c>
      <c r="G26" s="4"/>
      <c r="H26" s="3"/>
    </row>
    <row r="27" customFormat="false" ht="15" hidden="false" customHeight="false" outlineLevel="0" collapsed="false">
      <c r="B27" s="5" t="n">
        <v>25</v>
      </c>
      <c r="C27" s="6" t="s">
        <v>82</v>
      </c>
      <c r="D27" s="5" t="s">
        <v>83</v>
      </c>
      <c r="E27" s="6" t="s">
        <v>84</v>
      </c>
      <c r="F27" s="6" t="s">
        <v>85</v>
      </c>
      <c r="G27" s="7" t="n">
        <v>72.7</v>
      </c>
      <c r="H27" s="6" t="s">
        <v>86</v>
      </c>
    </row>
    <row r="28" customFormat="false" ht="15" hidden="false" customHeight="false" outlineLevel="0" collapsed="false">
      <c r="B28" s="5" t="n">
        <v>26</v>
      </c>
      <c r="C28" s="6" t="s">
        <v>87</v>
      </c>
      <c r="D28" s="5" t="s">
        <v>88</v>
      </c>
      <c r="E28" s="6" t="s">
        <v>89</v>
      </c>
      <c r="F28" s="6"/>
      <c r="G28" s="7" t="n">
        <v>10.3</v>
      </c>
      <c r="H28" s="6" t="s">
        <v>49</v>
      </c>
    </row>
    <row r="29" customFormat="false" ht="15" hidden="false" customHeight="false" outlineLevel="0" collapsed="false">
      <c r="B29" s="5" t="n">
        <v>27</v>
      </c>
      <c r="C29" s="6" t="s">
        <v>90</v>
      </c>
      <c r="D29" s="5" t="s">
        <v>91</v>
      </c>
      <c r="E29" s="6" t="s">
        <v>89</v>
      </c>
      <c r="F29" s="6"/>
      <c r="G29" s="7" t="n">
        <v>10.1</v>
      </c>
      <c r="H29" s="6" t="s">
        <v>49</v>
      </c>
    </row>
    <row r="30" customFormat="false" ht="15" hidden="false" customHeight="false" outlineLevel="0" collapsed="false">
      <c r="B30" s="5" t="n">
        <v>28</v>
      </c>
      <c r="C30" s="6" t="s">
        <v>92</v>
      </c>
      <c r="D30" s="5" t="s">
        <v>93</v>
      </c>
      <c r="E30" s="6" t="s">
        <v>89</v>
      </c>
      <c r="F30" s="6"/>
      <c r="G30" s="7" t="n">
        <v>19.1</v>
      </c>
      <c r="H30" s="6" t="s">
        <v>94</v>
      </c>
    </row>
    <row r="31" customFormat="false" ht="15" hidden="false" customHeight="false" outlineLevel="0" collapsed="false">
      <c r="B31" s="2" t="n">
        <v>29</v>
      </c>
      <c r="C31" s="3" t="s">
        <v>95</v>
      </c>
      <c r="D31" s="2" t="s">
        <v>43</v>
      </c>
      <c r="E31" s="3" t="s">
        <v>89</v>
      </c>
      <c r="F31" s="3" t="s">
        <v>96</v>
      </c>
      <c r="G31" s="4"/>
      <c r="H31" s="3"/>
    </row>
    <row r="32" customFormat="false" ht="15" hidden="false" customHeight="false" outlineLevel="0" collapsed="false">
      <c r="B32" s="5" t="n">
        <v>30</v>
      </c>
      <c r="C32" s="6" t="s">
        <v>97</v>
      </c>
      <c r="D32" s="5" t="s">
        <v>98</v>
      </c>
      <c r="E32" s="6" t="s">
        <v>89</v>
      </c>
      <c r="F32" s="6"/>
      <c r="G32" s="7" t="n">
        <v>32.6</v>
      </c>
      <c r="H32" s="6" t="s">
        <v>49</v>
      </c>
    </row>
    <row r="33" customFormat="false" ht="15" hidden="false" customHeight="false" outlineLevel="0" collapsed="false">
      <c r="B33" s="5" t="n">
        <v>31</v>
      </c>
      <c r="C33" s="6" t="s">
        <v>99</v>
      </c>
      <c r="D33" s="5" t="s">
        <v>100</v>
      </c>
      <c r="E33" s="6" t="s">
        <v>89</v>
      </c>
      <c r="F33" s="6"/>
      <c r="G33" s="7" t="n">
        <v>45.5</v>
      </c>
      <c r="H33" s="6" t="s">
        <v>49</v>
      </c>
    </row>
    <row r="34" customFormat="false" ht="15" hidden="false" customHeight="false" outlineLevel="0" collapsed="false">
      <c r="B34" s="5" t="n">
        <v>32</v>
      </c>
      <c r="C34" s="6" t="s">
        <v>101</v>
      </c>
      <c r="D34" s="5" t="s">
        <v>61</v>
      </c>
      <c r="E34" s="6" t="s">
        <v>89</v>
      </c>
      <c r="F34" s="6"/>
      <c r="G34" s="7" t="n">
        <v>22.7</v>
      </c>
      <c r="H34" s="6" t="s">
        <v>49</v>
      </c>
    </row>
    <row r="35" customFormat="false" ht="15" hidden="false" customHeight="false" outlineLevel="0" collapsed="false">
      <c r="B35" s="5" t="n">
        <v>33</v>
      </c>
      <c r="C35" s="6" t="s">
        <v>102</v>
      </c>
      <c r="D35" s="5" t="s">
        <v>64</v>
      </c>
      <c r="E35" s="6" t="s">
        <v>89</v>
      </c>
      <c r="F35" s="6"/>
      <c r="G35" s="7" t="n">
        <v>69.4</v>
      </c>
      <c r="H35" s="6" t="s">
        <v>49</v>
      </c>
    </row>
    <row r="36" customFormat="false" ht="15" hidden="false" customHeight="false" outlineLevel="0" collapsed="false">
      <c r="B36" s="2" t="n">
        <v>34</v>
      </c>
      <c r="C36" s="3" t="s">
        <v>103</v>
      </c>
      <c r="D36" s="2" t="s">
        <v>54</v>
      </c>
      <c r="E36" s="3" t="s">
        <v>89</v>
      </c>
      <c r="F36" s="3" t="s">
        <v>104</v>
      </c>
      <c r="G36" s="4"/>
      <c r="H36" s="3"/>
    </row>
    <row r="37" customFormat="false" ht="15" hidden="false" customHeight="false" outlineLevel="0" collapsed="false">
      <c r="B37" s="5" t="n">
        <v>35</v>
      </c>
      <c r="C37" s="6" t="s">
        <v>105</v>
      </c>
      <c r="D37" s="5" t="s">
        <v>88</v>
      </c>
      <c r="E37" s="6" t="s">
        <v>106</v>
      </c>
      <c r="F37" s="6"/>
      <c r="G37" s="7" t="n">
        <v>10.3</v>
      </c>
      <c r="H37" s="6" t="s">
        <v>49</v>
      </c>
    </row>
    <row r="38" customFormat="false" ht="15" hidden="false" customHeight="false" outlineLevel="0" collapsed="false">
      <c r="B38" s="5" t="n">
        <v>36</v>
      </c>
      <c r="C38" s="6" t="s">
        <v>107</v>
      </c>
      <c r="D38" s="5" t="s">
        <v>108</v>
      </c>
      <c r="E38" s="6" t="s">
        <v>106</v>
      </c>
      <c r="F38" s="6"/>
      <c r="G38" s="7" t="n">
        <v>16.6</v>
      </c>
      <c r="H38" s="6" t="s">
        <v>49</v>
      </c>
    </row>
    <row r="39" customFormat="false" ht="15" hidden="false" customHeight="false" outlineLevel="0" collapsed="false">
      <c r="B39" s="5" t="n">
        <v>37</v>
      </c>
      <c r="C39" s="6" t="s">
        <v>109</v>
      </c>
      <c r="D39" s="5" t="s">
        <v>64</v>
      </c>
      <c r="E39" s="6" t="s">
        <v>106</v>
      </c>
      <c r="F39" s="6"/>
      <c r="G39" s="7" t="n">
        <v>69.4</v>
      </c>
      <c r="H39" s="6" t="s">
        <v>49</v>
      </c>
    </row>
    <row r="40" customFormat="false" ht="15" hidden="false" customHeight="false" outlineLevel="0" collapsed="false">
      <c r="B40" s="5" t="n">
        <v>38</v>
      </c>
      <c r="C40" s="6" t="s">
        <v>110</v>
      </c>
      <c r="D40" s="5" t="s">
        <v>67</v>
      </c>
      <c r="E40" s="6" t="s">
        <v>106</v>
      </c>
      <c r="F40" s="6"/>
      <c r="G40" s="7" t="n">
        <v>20.2</v>
      </c>
      <c r="H40" s="6" t="s">
        <v>49</v>
      </c>
    </row>
    <row r="41" customFormat="false" ht="15" hidden="false" customHeight="false" outlineLevel="0" collapsed="false">
      <c r="B41" s="2" t="n">
        <v>39</v>
      </c>
      <c r="C41" s="3" t="s">
        <v>111</v>
      </c>
      <c r="D41" s="2" t="s">
        <v>54</v>
      </c>
      <c r="E41" s="3" t="s">
        <v>106</v>
      </c>
      <c r="F41" s="3" t="s">
        <v>112</v>
      </c>
      <c r="G41" s="4"/>
      <c r="H41" s="3"/>
    </row>
    <row r="42" customFormat="false" ht="15" hidden="false" customHeight="false" outlineLevel="0" collapsed="false">
      <c r="B42" s="5" t="n">
        <v>40</v>
      </c>
      <c r="C42" s="6" t="s">
        <v>113</v>
      </c>
      <c r="D42" s="5" t="s">
        <v>76</v>
      </c>
      <c r="E42" s="6" t="s">
        <v>106</v>
      </c>
      <c r="F42" s="6" t="s">
        <v>114</v>
      </c>
      <c r="G42" s="7" t="n">
        <v>86</v>
      </c>
      <c r="H42" s="6" t="s">
        <v>115</v>
      </c>
    </row>
    <row r="43" customFormat="false" ht="15" hidden="false" customHeight="false" outlineLevel="0" collapsed="false">
      <c r="B43" s="2" t="n">
        <v>41</v>
      </c>
      <c r="C43" s="3" t="s">
        <v>116</v>
      </c>
      <c r="D43" s="2" t="s">
        <v>117</v>
      </c>
      <c r="E43" s="3" t="s">
        <v>118</v>
      </c>
      <c r="F43" s="3" t="s">
        <v>119</v>
      </c>
      <c r="G43" s="4"/>
      <c r="H43" s="3"/>
    </row>
    <row r="44" customFormat="false" ht="15" hidden="false" customHeight="false" outlineLevel="0" collapsed="false">
      <c r="B44" s="5" t="n">
        <v>42</v>
      </c>
      <c r="C44" s="6" t="s">
        <v>120</v>
      </c>
      <c r="D44" s="5" t="s">
        <v>121</v>
      </c>
      <c r="E44" s="6" t="s">
        <v>122</v>
      </c>
      <c r="F44" s="6" t="s">
        <v>123</v>
      </c>
      <c r="G44" s="7" t="n">
        <v>108</v>
      </c>
      <c r="H44" s="6" t="s">
        <v>124</v>
      </c>
    </row>
    <row r="45" customFormat="false" ht="15" hidden="false" customHeight="false" outlineLevel="0" collapsed="false">
      <c r="B45" s="2" t="n">
        <v>43</v>
      </c>
      <c r="C45" s="3" t="s">
        <v>125</v>
      </c>
      <c r="D45" s="2" t="s">
        <v>126</v>
      </c>
      <c r="E45" s="3" t="s">
        <v>122</v>
      </c>
      <c r="F45" s="3" t="s">
        <v>127</v>
      </c>
      <c r="G45" s="4"/>
      <c r="H4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128</v>
      </c>
      <c r="D2" s="8" t="s">
        <v>129</v>
      </c>
      <c r="E2" s="8" t="s">
        <v>130</v>
      </c>
    </row>
    <row r="3" customFormat="false" ht="15" hidden="false" customHeight="false" outlineLevel="0" collapsed="false">
      <c r="B3" s="9" t="s">
        <v>89</v>
      </c>
      <c r="C3" s="10" t="n">
        <v>7</v>
      </c>
      <c r="D3" s="10" t="n">
        <v>9</v>
      </c>
      <c r="E3" s="11" t="n">
        <f aca="false">C3/D3</f>
        <v>0.777777777777778</v>
      </c>
    </row>
    <row r="4" customFormat="false" ht="15" hidden="false" customHeight="false" outlineLevel="0" collapsed="false">
      <c r="B4" s="9" t="s">
        <v>58</v>
      </c>
      <c r="C4" s="10" t="n">
        <v>8</v>
      </c>
      <c r="D4" s="10" t="n">
        <v>8</v>
      </c>
      <c r="E4" s="11" t="n">
        <f aca="false">C4/D4</f>
        <v>1</v>
      </c>
    </row>
    <row r="5" customFormat="false" ht="15" hidden="false" customHeight="false" outlineLevel="0" collapsed="false">
      <c r="B5" s="9" t="s">
        <v>106</v>
      </c>
      <c r="C5" s="10" t="n">
        <v>5</v>
      </c>
      <c r="D5" s="10" t="n">
        <v>6</v>
      </c>
      <c r="E5" s="11" t="n">
        <f aca="false">C5/D5</f>
        <v>0.833333333333333</v>
      </c>
    </row>
    <row r="6" customFormat="false" ht="15" hidden="false" customHeight="false" outlineLevel="0" collapsed="false">
      <c r="B6" s="9" t="s">
        <v>35</v>
      </c>
      <c r="C6" s="10" t="n">
        <v>0</v>
      </c>
      <c r="D6" s="10" t="n">
        <v>3</v>
      </c>
      <c r="E6" s="11" t="n">
        <f aca="false">C6/D6</f>
        <v>0</v>
      </c>
    </row>
    <row r="7" customFormat="false" ht="15" hidden="false" customHeight="false" outlineLevel="0" collapsed="false">
      <c r="B7" s="9" t="s">
        <v>47</v>
      </c>
      <c r="C7" s="10" t="n">
        <v>2</v>
      </c>
      <c r="D7" s="10" t="n">
        <v>2</v>
      </c>
      <c r="E7" s="11" t="n">
        <f aca="false">C7/D7</f>
        <v>1</v>
      </c>
    </row>
    <row r="8" customFormat="false" ht="15" hidden="false" customHeight="false" outlineLevel="0" collapsed="false">
      <c r="B8" s="9" t="s">
        <v>122</v>
      </c>
      <c r="C8" s="10" t="n">
        <v>1</v>
      </c>
      <c r="D8" s="10" t="n">
        <v>2</v>
      </c>
      <c r="E8" s="11" t="n">
        <f aca="false">C8/D8</f>
        <v>0.5</v>
      </c>
    </row>
    <row r="9" customFormat="false" ht="15" hidden="false" customHeight="false" outlineLevel="0" collapsed="false">
      <c r="B9" s="9" t="s">
        <v>80</v>
      </c>
      <c r="C9" s="10" t="n">
        <v>0</v>
      </c>
      <c r="D9" s="10" t="n">
        <v>1</v>
      </c>
      <c r="E9" s="11" t="n">
        <f aca="false">C9/D9</f>
        <v>0</v>
      </c>
    </row>
    <row r="10" customFormat="false" ht="15" hidden="false" customHeight="false" outlineLevel="0" collapsed="false">
      <c r="B10" s="9" t="s">
        <v>25</v>
      </c>
      <c r="C10" s="10" t="n">
        <v>0</v>
      </c>
      <c r="D10" s="10" t="n">
        <v>1</v>
      </c>
      <c r="E10" s="11" t="n">
        <f aca="false">C10/D10</f>
        <v>0</v>
      </c>
    </row>
    <row r="11" customFormat="false" ht="15" hidden="false" customHeight="false" outlineLevel="0" collapsed="false">
      <c r="B11" s="9" t="s">
        <v>28</v>
      </c>
      <c r="C11" s="10" t="n">
        <v>0</v>
      </c>
      <c r="D11" s="10" t="n">
        <v>1</v>
      </c>
      <c r="E11" s="11" t="n">
        <f aca="false">C11/D11</f>
        <v>0</v>
      </c>
    </row>
    <row r="12" customFormat="false" ht="15" hidden="false" customHeight="false" outlineLevel="0" collapsed="false">
      <c r="B12" s="9" t="s">
        <v>84</v>
      </c>
      <c r="C12" s="10" t="n">
        <v>1</v>
      </c>
      <c r="D12" s="10" t="n">
        <v>1</v>
      </c>
      <c r="E12" s="11" t="n">
        <f aca="false">C12/D12</f>
        <v>1</v>
      </c>
    </row>
    <row r="13" customFormat="false" ht="15" hidden="false" customHeight="false" outlineLevel="0" collapsed="false">
      <c r="B13" s="9" t="s">
        <v>31</v>
      </c>
      <c r="C13" s="10" t="n">
        <v>0</v>
      </c>
      <c r="D13" s="10" t="n">
        <v>1</v>
      </c>
      <c r="E13" s="11" t="n">
        <f aca="false">C13/D13</f>
        <v>0</v>
      </c>
    </row>
    <row r="14" customFormat="false" ht="15" hidden="false" customHeight="false" outlineLevel="0" collapsed="false">
      <c r="B14" s="9" t="s">
        <v>19</v>
      </c>
      <c r="C14" s="10" t="n">
        <v>0</v>
      </c>
      <c r="D14" s="10" t="n">
        <v>1</v>
      </c>
      <c r="E14" s="11" t="n">
        <f aca="false">C14/D14</f>
        <v>0</v>
      </c>
    </row>
    <row r="15" customFormat="false" ht="15" hidden="false" customHeight="false" outlineLevel="0" collapsed="false">
      <c r="B15" s="9" t="s">
        <v>16</v>
      </c>
      <c r="C15" s="10" t="n">
        <v>0</v>
      </c>
      <c r="D15" s="10" t="n">
        <v>1</v>
      </c>
      <c r="E15" s="11" t="n">
        <f aca="false">C15/D15</f>
        <v>0</v>
      </c>
    </row>
    <row r="16" customFormat="false" ht="15" hidden="false" customHeight="false" outlineLevel="0" collapsed="false">
      <c r="B16" s="9" t="s">
        <v>118</v>
      </c>
      <c r="C16" s="10" t="n">
        <v>0</v>
      </c>
      <c r="D16" s="10" t="n">
        <v>1</v>
      </c>
      <c r="E16" s="11" t="n">
        <f aca="false">C16/D16</f>
        <v>0</v>
      </c>
    </row>
    <row r="17" customFormat="false" ht="15" hidden="false" customHeight="false" outlineLevel="0" collapsed="false">
      <c r="B17" s="9" t="s">
        <v>9</v>
      </c>
      <c r="C17" s="10" t="n">
        <v>0</v>
      </c>
      <c r="D17" s="10" t="n">
        <v>1</v>
      </c>
      <c r="E17" s="11" t="n">
        <f aca="false">C17/D17</f>
        <v>0</v>
      </c>
    </row>
    <row r="18" customFormat="false" ht="15" hidden="false" customHeight="false" outlineLevel="0" collapsed="false">
      <c r="B18" s="9" t="s">
        <v>13</v>
      </c>
      <c r="C18" s="10" t="n">
        <v>0</v>
      </c>
      <c r="D18" s="10" t="n">
        <v>1</v>
      </c>
      <c r="E18" s="11" t="n">
        <f aca="false">C18/D18</f>
        <v>0</v>
      </c>
    </row>
    <row r="19" customFormat="false" ht="15" hidden="false" customHeight="false" outlineLevel="0" collapsed="false">
      <c r="B19" s="9" t="s">
        <v>55</v>
      </c>
      <c r="C19" s="10" t="n">
        <v>1</v>
      </c>
      <c r="D19" s="10" t="n">
        <v>1</v>
      </c>
      <c r="E19" s="11" t="n">
        <f aca="false">C19/D19</f>
        <v>1</v>
      </c>
    </row>
    <row r="20" customFormat="false" ht="15" hidden="false" customHeight="false" outlineLevel="0" collapsed="false">
      <c r="B20" s="9" t="s">
        <v>22</v>
      </c>
      <c r="C20" s="10" t="n">
        <v>0</v>
      </c>
      <c r="D20" s="10" t="n">
        <v>1</v>
      </c>
      <c r="E20" s="11" t="n">
        <f aca="false">C20/D20</f>
        <v>0</v>
      </c>
    </row>
    <row r="21" customFormat="false" ht="15" hidden="false" customHeight="false" outlineLevel="0" collapsed="false">
      <c r="B21" s="9" t="s">
        <v>44</v>
      </c>
      <c r="C21" s="10" t="n">
        <v>0</v>
      </c>
      <c r="D21" s="10" t="n">
        <v>1</v>
      </c>
      <c r="E21" s="11" t="n">
        <f aca="false">C21/D21</f>
        <v>0</v>
      </c>
    </row>
    <row r="22" customFormat="false" ht="15" hidden="false" customHeight="false" outlineLevel="0" collapsed="false">
      <c r="B22" s="12" t="s">
        <v>131</v>
      </c>
      <c r="C22" s="13" t="n">
        <f aca="false">SUM(C3:C21)</f>
        <v>25</v>
      </c>
      <c r="D22" s="13" t="n">
        <f aca="false">SUM(D3:D21)</f>
        <v>43</v>
      </c>
      <c r="E22" s="14" t="n">
        <f aca="false">C22/D22</f>
        <v>0.581395348837209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132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133</v>
      </c>
    </row>
    <row r="5" customFormat="false" ht="15" hidden="false" customHeight="false" outlineLevel="0" collapsed="false">
      <c r="B5" s="16" t="s">
        <v>134</v>
      </c>
    </row>
    <row r="6" customFormat="false" ht="15" hidden="false" customHeight="false" outlineLevel="0" collapsed="false">
      <c r="B6" s="16" t="s">
        <v>135</v>
      </c>
    </row>
    <row r="7" customFormat="false" ht="15" hidden="false" customHeight="false" outlineLevel="0" collapsed="false">
      <c r="B7" s="16" t="s">
        <v>136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137</v>
      </c>
    </row>
    <row r="10" customFormat="false" ht="15" hidden="false" customHeight="false" outlineLevel="0" collapsed="false">
      <c r="B10" s="16" t="s">
        <v>138</v>
      </c>
    </row>
    <row r="11" customFormat="false" ht="15" hidden="false" customHeight="false" outlineLevel="0" collapsed="false">
      <c r="B11" s="16" t="s">
        <v>139</v>
      </c>
    </row>
    <row r="12" customFormat="false" ht="15" hidden="false" customHeight="false" outlineLevel="0" collapsed="false">
      <c r="B12" s="16" t="s">
        <v>140</v>
      </c>
    </row>
    <row r="13" customFormat="false" ht="15" hidden="false" customHeight="false" outlineLevel="0" collapsed="false">
      <c r="B13" s="16" t="s">
        <v>141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142</v>
      </c>
    </row>
    <row r="16" customFormat="false" ht="15" hidden="false" customHeight="false" outlineLevel="0" collapsed="false">
      <c r="B16" s="16" t="s">
        <v>143</v>
      </c>
    </row>
    <row r="17" customFormat="false" ht="15" hidden="false" customHeight="false" outlineLevel="0" collapsed="false">
      <c r="B17" s="16" t="s">
        <v>144</v>
      </c>
    </row>
    <row r="18" customFormat="false" ht="15" hidden="false" customHeight="false" outlineLevel="0" collapsed="false">
      <c r="B18" s="16" t="s">
        <v>145</v>
      </c>
    </row>
    <row r="19" customFormat="false" ht="15" hidden="false" customHeight="false" outlineLevel="0" collapsed="false">
      <c r="B1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2026-07-14T13:36:48Z</dcterms:created>
  <dc:creator>openpyxl</dc:creator>
  <dc:description/>
  <dc:language>en-US</dc:language>
  <cp:lastModifiedBy/>
  <dcterms:modified xsi:type="dcterms:W3CDTF">2026-07-14T13:36:48Z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