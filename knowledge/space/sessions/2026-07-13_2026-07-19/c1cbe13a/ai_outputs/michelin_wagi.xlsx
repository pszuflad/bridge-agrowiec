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chelin_wagi" sheetId="1" state="visible" r:id="rId3"/>
    <sheet name="Pokrycie" sheetId="2" state="visible" r:id="rId4"/>
    <sheet name="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<sst xmlns="http://schemas.openxmlformats.org/spreadsheetml/2006/main" count="588" uniqueCount="401">
  <si>
    <t xml:space="preserve">#</t>
  </si>
  <si>
    <t xml:space="preserve">Nazwa oryginalna</t>
  </si>
  <si>
    <t xml:space="preserve">Rozmiar</t>
  </si>
  <si>
    <t xml:space="preserve">Seria</t>
  </si>
  <si>
    <t xml:space="preserve">Indeks/opis</t>
  </si>
  <si>
    <t xml:space="preserve">Waga (kg)</t>
  </si>
  <si>
    <t xml:space="preserve">Źródło wagi</t>
  </si>
  <si>
    <t xml:space="preserve">340/85R46 Michelin AGRIBIB RC 150A8/150B TL</t>
  </si>
  <si>
    <t xml:space="preserve">340/85R46</t>
  </si>
  <si>
    <t xml:space="preserve">AGRIBIB</t>
  </si>
  <si>
    <t xml:space="preserve">RC 150A8/150B TL</t>
  </si>
  <si>
    <t xml:space="preserve">https://www.heuver.com/product/b34085046mia8arc01/340-85r46-michelin-agribib-rc-150a8-150b-tl</t>
  </si>
  <si>
    <t xml:space="preserve">380/95R38 Michelin AGRIBIB 147A8/147B TL</t>
  </si>
  <si>
    <t xml:space="preserve">380/95R38</t>
  </si>
  <si>
    <t xml:space="preserve">147A8/147B TL</t>
  </si>
  <si>
    <t xml:space="preserve">https://www.heuver.com/product/b38095038mia8agr00/380-95r38-michelin-agribib</t>
  </si>
  <si>
    <t xml:space="preserve">320/85R34 Michelin AGRIBIB 2 133A8/133B TL</t>
  </si>
  <si>
    <t xml:space="preserve">320/85R34</t>
  </si>
  <si>
    <t xml:space="preserve">AGRIBIB 2</t>
  </si>
  <si>
    <t xml:space="preserve">133A8/133B TL</t>
  </si>
  <si>
    <t xml:space="preserve">https://www.heuver.com/product/b32085034mia8ab200/320-85r34-michelin-agribib-2</t>
  </si>
  <si>
    <t xml:space="preserve">380/80R38 Michelin AGRIBIB 2 142A8/139D TL</t>
  </si>
  <si>
    <t xml:space="preserve">380/80R38</t>
  </si>
  <si>
    <t xml:space="preserve">142A8/139D TL</t>
  </si>
  <si>
    <t xml:space="preserve">https://onlineshop.bohnenkamp.de/de/reifen-michelin-agribib-2-380-80-r-38-13326566</t>
  </si>
  <si>
    <t xml:space="preserve">380/85R30 Michelin AGRIBIB 2 140A8/140B TL</t>
  </si>
  <si>
    <t xml:space="preserve">380/85R30</t>
  </si>
  <si>
    <t xml:space="preserve">140A8/140B TL</t>
  </si>
  <si>
    <t xml:space="preserve">https://www.heuver.com/product/b38085030mia8ab200/380-85r30-michelin-agribib-2</t>
  </si>
  <si>
    <t xml:space="preserve">380/90R54 Michelin AGRIBIB 2 DA 152A8/152B TL</t>
  </si>
  <si>
    <t xml:space="preserve">380/90R54</t>
  </si>
  <si>
    <t xml:space="preserve">DA 152A8/152B TL</t>
  </si>
  <si>
    <t xml:space="preserve">https://www.heuver.com/product/b38090054mia8ab200/380-90r54-michelin-agribib-2</t>
  </si>
  <si>
    <t xml:space="preserve">420/80R46 Michelin AGRIBIB 2 151A8/151B TL</t>
  </si>
  <si>
    <t xml:space="preserve">420/80R46</t>
  </si>
  <si>
    <t xml:space="preserve">151A8/151B TL</t>
  </si>
  <si>
    <t xml:space="preserve">https://www.heuver.com/product/b42080046mia8ab200/420-80r46-michelin-agribib-2</t>
  </si>
  <si>
    <t xml:space="preserve">420/90R30 Michelin AGRIBIB 2 147A8/147B TL</t>
  </si>
  <si>
    <t xml:space="preserve">420/90R30</t>
  </si>
  <si>
    <t xml:space="preserve">https://www.heuver.com/product/b42090030mia8ab200/420-90r30-michelin-agribib-2</t>
  </si>
  <si>
    <t xml:space="preserve">460/85R34 Michelin AGRIBIB 2 152A8/152B TL</t>
  </si>
  <si>
    <t xml:space="preserve">460/85R34</t>
  </si>
  <si>
    <t xml:space="preserve">152A8/152B TL</t>
  </si>
  <si>
    <t xml:space="preserve">https://store.ntstiresupply.com/shop/32288-460-85r34-michelin-agribib-2-r-1w-152a8-152b-100-134094 (280 lbs → 127 kg)</t>
  </si>
  <si>
    <t xml:space="preserve">480/80R42 Michelin AGRIBIB 2 156A8/156B TL demo</t>
  </si>
  <si>
    <t xml:space="preserve">480/80R42</t>
  </si>
  <si>
    <t xml:space="preserve">156A8/156B TL demo</t>
  </si>
  <si>
    <t xml:space="preserve">https://www.heuver.com/product/b48080042mia8ab200/480-80r42-michelin-agribib-2</t>
  </si>
  <si>
    <t xml:space="preserve">480/80R46 Michelin AGRIBIB 2 158A8/158B TL</t>
  </si>
  <si>
    <t xml:space="preserve">480/80R46</t>
  </si>
  <si>
    <t xml:space="preserve">158A8/158B TL</t>
  </si>
  <si>
    <t xml:space="preserve">https://www.heuver.com/product/b48080046mia8ab200/480-80r46-michelin-agribib-2</t>
  </si>
  <si>
    <t xml:space="preserve">520/85R38 Michelin AGRIBIB 2 160A8/160B TL</t>
  </si>
  <si>
    <t xml:space="preserve">520/85R38</t>
  </si>
  <si>
    <t xml:space="preserve">160A8/160B TL</t>
  </si>
  <si>
    <t xml:space="preserve">https://www.heuver.com/product/b52085038mia8ab200/520-85r38-michelin-agribib-2</t>
  </si>
  <si>
    <t xml:space="preserve">520/85R42 Michelin AGRIBIB 2 162A8/162B TL</t>
  </si>
  <si>
    <t xml:space="preserve">520/85R42</t>
  </si>
  <si>
    <t xml:space="preserve">162A8/162B TL</t>
  </si>
  <si>
    <t xml:space="preserve">https://www.heuver.com/product/b52085042mia8ab200/520-85r42-michelin-agribib-2</t>
  </si>
  <si>
    <t xml:space="preserve">520/85R46 Michelin AGRIBIB 2 164A8/164B TL demo</t>
  </si>
  <si>
    <t xml:space="preserve">520/85R46</t>
  </si>
  <si>
    <t xml:space="preserve">164A8/164B TL demo</t>
  </si>
  <si>
    <t xml:space="preserve">https://www.heuver.com/product/b52085046mia8ab200/520-85r46-michelin-agribib-2</t>
  </si>
  <si>
    <t xml:space="preserve">340/80R18 Michelin BIBLOAD 143A8/143B TL</t>
  </si>
  <si>
    <t xml:space="preserve">340/80R18</t>
  </si>
  <si>
    <t xml:space="preserve">BIBLOAD</t>
  </si>
  <si>
    <t xml:space="preserve">143A8/143B TL</t>
  </si>
  <si>
    <t xml:space="preserve">https://onlineshop.bohnenkamp-suisse.ch/en/tyre-michelin-bibload-hard-surface-340-80-r-18-13375205 [dopasowano 'BIBLOAD HARD SURFACE']</t>
  </si>
  <si>
    <t xml:space="preserve">400/70R18 Michelin BIBLOAD H/S 147A8/147B TL</t>
  </si>
  <si>
    <t xml:space="preserve">400/70R18</t>
  </si>
  <si>
    <t xml:space="preserve">H/S 147A8/147B TL</t>
  </si>
  <si>
    <t xml:space="preserve">https://www.kreissler24.de/400-70r18-147a8-147b-michelin-bibload-405-70r18.html [dopasowano 'BIBLOAD HARD SURFACE']</t>
  </si>
  <si>
    <t xml:space="preserve">400/70R20 Michelin BIBLOAD 149A8/149B TL</t>
  </si>
  <si>
    <t xml:space="preserve">400/70R20</t>
  </si>
  <si>
    <t xml:space="preserve">149A8/149B TL</t>
  </si>
  <si>
    <t xml:space="preserve">https://www.baywa.de/de/traktor/reifen-raeder/mpt-reifen/michelin-mpt-reifen-bibload-hard-surface-radial-tl/p-000000000001492734/ [dopasowano 'BIBLOAD HARD SURFACE']</t>
  </si>
  <si>
    <t xml:space="preserve">460/70R24 Michelin BIBLOAD 159A8/159B TL</t>
  </si>
  <si>
    <t xml:space="preserve">460/70R24</t>
  </si>
  <si>
    <t xml:space="preserve">159A8/159B TL</t>
  </si>
  <si>
    <t xml:space="preserve">https://www.reifen-ketten.at/reifen/detail/19752 [dopasowano 'BIBLOAD HARD SURFACE']</t>
  </si>
  <si>
    <t xml:space="preserve">500/70R24 Michelin BIBLOAD 164A8/164B TL</t>
  </si>
  <si>
    <t xml:space="preserve">500/70R24</t>
  </si>
  <si>
    <t xml:space="preserve">164A8/164B TL</t>
  </si>
  <si>
    <t xml:space="preserve">https://onlineshop.bohnenkamp.de/reifen-500-70-r-24-49503.html [dopasowano 'BIBLOAD HARD SURFACE']</t>
  </si>
  <si>
    <t xml:space="preserve">400/80R24 Michelin CROSSGRIP 156A8/151D TL</t>
  </si>
  <si>
    <t xml:space="preserve">400/80R24</t>
  </si>
  <si>
    <t xml:space="preserve">CROSSGRIP</t>
  </si>
  <si>
    <t xml:space="preserve">156A8/151D TL</t>
  </si>
  <si>
    <t xml:space="preserve">600/65R28 Michelin MACHXBIB 154D/150E TL</t>
  </si>
  <si>
    <t xml:space="preserve">600/65R28</t>
  </si>
  <si>
    <t xml:space="preserve">MACHXBIB</t>
  </si>
  <si>
    <t xml:space="preserve">154D/150E TL</t>
  </si>
  <si>
    <t xml:space="preserve">https://www.heuver.com/product/b60065028midmac00/600-65r28-michelin-machxbib-154d-150e-tl</t>
  </si>
  <si>
    <t xml:space="preserve">600/65R28 Michelin Machxbib 154D/150E TL</t>
  </si>
  <si>
    <t xml:space="preserve">600/70R30 Michelin Machxbib 158D TL demo</t>
  </si>
  <si>
    <t xml:space="preserve">600/70R30</t>
  </si>
  <si>
    <t xml:space="preserve">158D TL demo</t>
  </si>
  <si>
    <t xml:space="preserve">https://www.heuver.com/product/b60070030midmac00/600-70r30-michelin-machxbib-158d-tl</t>
  </si>
  <si>
    <t xml:space="preserve">600/70R30 Michelin Machxbib 158D TL</t>
  </si>
  <si>
    <t xml:space="preserve">158D TL</t>
  </si>
  <si>
    <t xml:space="preserve">650/60R34 Michelin MACHXBIB 159D/155E TL</t>
  </si>
  <si>
    <t xml:space="preserve">650/60R34</t>
  </si>
  <si>
    <t xml:space="preserve">159D/155E TL</t>
  </si>
  <si>
    <t xml:space="preserve">https://www.hohenwarter.com/maschinenmarkt/detail/20821</t>
  </si>
  <si>
    <t xml:space="preserve">710/70R42 Michelin Machxbib 173D TL demo</t>
  </si>
  <si>
    <t xml:space="preserve">710/70R42</t>
  </si>
  <si>
    <t xml:space="preserve">173D TL demo</t>
  </si>
  <si>
    <t xml:space="preserve">https://www.heuver.com/product/b71070042midmac00/710-70r42-michelin-machxbib</t>
  </si>
  <si>
    <t xml:space="preserve">710/70R42 Michelin Machxbib 173D TL</t>
  </si>
  <si>
    <t xml:space="preserve">173D TL</t>
  </si>
  <si>
    <t xml:space="preserve">710/75R42 Michelin MACHXBIB 175D/171E TL</t>
  </si>
  <si>
    <t xml:space="preserve">710/75R42</t>
  </si>
  <si>
    <t xml:space="preserve">175D/171E TL</t>
  </si>
  <si>
    <t xml:space="preserve">https://onlineshop.bohnenkamp-suisse.ch/de/reifen-michelin-machxbib-710-75-r-42-10002512</t>
  </si>
  <si>
    <t xml:space="preserve">800/70R38 Michelin MACHXBIB 173D TL</t>
  </si>
  <si>
    <t xml:space="preserve">800/70R38</t>
  </si>
  <si>
    <t xml:space="preserve">https://www.heuver.com/product/b80070038midmac00/800-70r38-michelin-machxbib</t>
  </si>
  <si>
    <t xml:space="preserve">1050/50R32 Michelin MEGAXBIB M28 178A8 TL</t>
  </si>
  <si>
    <t xml:space="preserve">1050/50R32</t>
  </si>
  <si>
    <t xml:space="preserve">MEGAXBIB</t>
  </si>
  <si>
    <t xml:space="preserve">M28 178A8 TL</t>
  </si>
  <si>
    <t xml:space="preserve">https://www.heuver.com/product/b10550032mia8meg02/1050-50r32-michelin-megaxbib-178a8-172d-tl</t>
  </si>
  <si>
    <t xml:space="preserve">800/65R32 Michelin MEGAXBIB 2 178A8/178B TL</t>
  </si>
  <si>
    <t xml:space="preserve">800/65R32</t>
  </si>
  <si>
    <t xml:space="preserve">MEGAXBIB 2</t>
  </si>
  <si>
    <t xml:space="preserve">178A8/178B TL</t>
  </si>
  <si>
    <t xml:space="preserve">https://store.ntstiresupply.com/shop/87985-800-65r32-michelin-megaxbib-2-hf-2-178b-100-17616 (696,65 lbs → 316 kg)</t>
  </si>
  <si>
    <t xml:space="preserve">800/70R32 Michelin MEGAXBIB 2 181A8/181B TL</t>
  </si>
  <si>
    <t xml:space="preserve">800/70R32</t>
  </si>
  <si>
    <t xml:space="preserve">181A8/181B TL</t>
  </si>
  <si>
    <t xml:space="preserve">900/60R32 Michelin MEGAXBIB 2 181A8/181B TL</t>
  </si>
  <si>
    <t xml:space="preserve">900/60R32</t>
  </si>
  <si>
    <t xml:space="preserve">https://onlineshop.bohnenkamp.de/de/reifen-michelin-megaxbib-900-60-r-32-13326988</t>
  </si>
  <si>
    <t xml:space="preserve">420/65R24 Michelin MULTIBIB 126D TL demo</t>
  </si>
  <si>
    <t xml:space="preserve">420/65R24</t>
  </si>
  <si>
    <t xml:space="preserve">MULTIBIB</t>
  </si>
  <si>
    <t xml:space="preserve">126D TL demo</t>
  </si>
  <si>
    <t xml:space="preserve">https://www.heuver.com/product/b42065024midmul00/420-65r24-michelin-multibib-126d-tl</t>
  </si>
  <si>
    <t xml:space="preserve">440/65R20 Michelin MULTIBIB 128D TL demo</t>
  </si>
  <si>
    <t xml:space="preserve">440/65R20</t>
  </si>
  <si>
    <t xml:space="preserve">128D TL demo</t>
  </si>
  <si>
    <t xml:space="preserve">https://www.heuver.com/product/b44065020midmul00/440-65r20-michelin-multibib-128d-tl</t>
  </si>
  <si>
    <t xml:space="preserve">440/65R28 Michelin MULTIBIB 131D TL demo</t>
  </si>
  <si>
    <t xml:space="preserve">440/65R28</t>
  </si>
  <si>
    <t xml:space="preserve">131D TL demo</t>
  </si>
  <si>
    <t xml:space="preserve">https://www.heuver.com/product/b44065028midmul00/440-65r28-michelin-multibib-131d-tl</t>
  </si>
  <si>
    <t xml:space="preserve">480/65R24 Michelin MULTIBIB 133D TL</t>
  </si>
  <si>
    <t xml:space="preserve">480/65R24</t>
  </si>
  <si>
    <t xml:space="preserve">133D TL</t>
  </si>
  <si>
    <t xml:space="preserve">https://www.heuver.com/product/b48065024midmul00/480-65r24-michelin-multibib-133d-tl</t>
  </si>
  <si>
    <t xml:space="preserve">480/65R28 Michelin MULTIBIB 136D TL</t>
  </si>
  <si>
    <t xml:space="preserve">480/65R28</t>
  </si>
  <si>
    <t xml:space="preserve">136D TL</t>
  </si>
  <si>
    <t xml:space="preserve">https://www.heuver.com/product/b48065028midmul00/480-65r28-michelin-multibib-136d-tl</t>
  </si>
  <si>
    <t xml:space="preserve">540/65R24 Michelin MULTIBIB 140D TL</t>
  </si>
  <si>
    <t xml:space="preserve">540/65R24</t>
  </si>
  <si>
    <t xml:space="preserve">140D TL</t>
  </si>
  <si>
    <t xml:space="preserve">https://www.heuver.com/product/b54065024midmul00/540-65r24-michelin-multibib-140d-tl</t>
  </si>
  <si>
    <t xml:space="preserve">540/65R28 Michelin MULTIBIB 142D TL</t>
  </si>
  <si>
    <t xml:space="preserve">540/65R28</t>
  </si>
  <si>
    <t xml:space="preserve">142D TL</t>
  </si>
  <si>
    <t xml:space="preserve">https://www.heuver.com/product/b54065028midmul00/540-65r28-michelin-multibib-142d-tl</t>
  </si>
  <si>
    <t xml:space="preserve">540/65R30 Michelin MULTIBIB 143D TL</t>
  </si>
  <si>
    <t xml:space="preserve">540/65R30</t>
  </si>
  <si>
    <t xml:space="preserve">143D TL</t>
  </si>
  <si>
    <t xml:space="preserve">https://www.heuver.com/product/b54065030midmul00/540-65r30-michelin-multibib-143d-tl</t>
  </si>
  <si>
    <t xml:space="preserve">600/65R38 Michelin MULTIBIB 153D TL</t>
  </si>
  <si>
    <t xml:space="preserve">600/65R38</t>
  </si>
  <si>
    <t xml:space="preserve">153D TL</t>
  </si>
  <si>
    <t xml:space="preserve">https://www.heuver.com/product/b60065038midmul00/600-65r38-michelin-multibib-153d-tl</t>
  </si>
  <si>
    <t xml:space="preserve">650/65R38 Michelin MULTIBIB 157D TL</t>
  </si>
  <si>
    <t xml:space="preserve">650/65R38</t>
  </si>
  <si>
    <t xml:space="preserve">157D TL</t>
  </si>
  <si>
    <t xml:space="preserve">https://www.heuver.com/product/b65065038midmul00/650-65r38-michelin-multibib-157d-tl</t>
  </si>
  <si>
    <t xml:space="preserve">650/65R42 Michelin MULTIBIB 158D TL demo</t>
  </si>
  <si>
    <t xml:space="preserve">650/65R42</t>
  </si>
  <si>
    <t xml:space="preserve">https://www.heuver.com/product/b65065042midmul00/650-65r42-michelin-multibib-158d-tl</t>
  </si>
  <si>
    <t xml:space="preserve">650/65R42 Michelin MULTIBIB 158D TL</t>
  </si>
  <si>
    <t xml:space="preserve">480/70R34 Michelin OMNIBIB 143D TL</t>
  </si>
  <si>
    <t xml:space="preserve">480/70R34</t>
  </si>
  <si>
    <t xml:space="preserve">OMNIBIB</t>
  </si>
  <si>
    <t xml:space="preserve">https://www.e-agropneu.de/reifen/48070-r34-143d-tl-omnibib-143-k27180.htm</t>
  </si>
  <si>
    <t xml:space="preserve">480/70R38 Michelin OMNIBIB 145D TL</t>
  </si>
  <si>
    <t xml:space="preserve">480/70R38</t>
  </si>
  <si>
    <t xml:space="preserve">145D TL</t>
  </si>
  <si>
    <t xml:space="preserve">https://www.heuver.de/webshop/product/b48070038midomn00/480-70r38-michelin-omnibib-145d-tl</t>
  </si>
  <si>
    <t xml:space="preserve">10.5/80-18 Michelin POWER CL 132A8 TL</t>
  </si>
  <si>
    <t xml:space="preserve">10.5/80-18</t>
  </si>
  <si>
    <t xml:space="preserve">POWER CL</t>
  </si>
  <si>
    <t xml:space="preserve">132A8 TL</t>
  </si>
  <si>
    <t xml:space="preserve">https://www.heuver.com/product/b28080018mia8pcl00/280-80-18-michelin-power-cl-132a8-10pr-tl</t>
  </si>
  <si>
    <t xml:space="preserve">16.9-24 Michelin POWER CL 168A8 TL</t>
  </si>
  <si>
    <t xml:space="preserve">16.9-24</t>
  </si>
  <si>
    <t xml:space="preserve">168A8 TL</t>
  </si>
  <si>
    <t xml:space="preserve">https://onlineshop.bohnenkamp-suisse.ch/en/tyre-michelin-power-cl-440-80-24-13371055</t>
  </si>
  <si>
    <t xml:space="preserve">280/80-20 Michelin POWER CL 133A8 TL</t>
  </si>
  <si>
    <t xml:space="preserve">280/80-20</t>
  </si>
  <si>
    <t xml:space="preserve">133A8 TL</t>
  </si>
  <si>
    <t xml:space="preserve">https://onlineshop.bohnenkamp.at/de/reifen-michelin-power-cl-280-80-20-13371030</t>
  </si>
  <si>
    <t xml:space="preserve">340/80-18 Michelin POWER CL 143A8 TL</t>
  </si>
  <si>
    <t xml:space="preserve">340/80-18</t>
  </si>
  <si>
    <t xml:space="preserve">143A8 TL</t>
  </si>
  <si>
    <t xml:space="preserve">https://www.xlpneus.com/fr/pneus-industriels/38911-pneu-michelin-power-cl-340-80-18-143a8-3528706108730.html</t>
  </si>
  <si>
    <t xml:space="preserve">400/70-20 Michelin POWER CL 149A8 TL</t>
  </si>
  <si>
    <t xml:space="preserve">400/70-20</t>
  </si>
  <si>
    <t xml:space="preserve">149A8 TL</t>
  </si>
  <si>
    <t xml:space="preserve">https://www.kreissler24.de/400-70-20-149a8-em-michelin-power-cl-16-0-70-20.html</t>
  </si>
  <si>
    <t xml:space="preserve">400/80-24 Michelin POWER CL 162A8 TL</t>
  </si>
  <si>
    <t xml:space="preserve">400/80-24</t>
  </si>
  <si>
    <t xml:space="preserve">162A8 TL</t>
  </si>
  <si>
    <t xml:space="preserve">https://www.allpneus.com/catalogue/pneus-agricole/michelin/pneus-industriel-genie-civil/power-cl/249147</t>
  </si>
  <si>
    <t xml:space="preserve">440/80-24 Michelin POWER CL 168A8 TL</t>
  </si>
  <si>
    <t xml:space="preserve">440/80-24</t>
  </si>
  <si>
    <t xml:space="preserve">480/80-26 Michelin POWER CL 167A8 TL</t>
  </si>
  <si>
    <t xml:space="preserve">480/80-26</t>
  </si>
  <si>
    <t xml:space="preserve">167A8 TL</t>
  </si>
  <si>
    <t xml:space="preserve">https://shop.bohnenkamp.sk/reifen-480-80-26.html</t>
  </si>
  <si>
    <t xml:space="preserve">500/70-24 Michelin POWER CL 164A8 TL</t>
  </si>
  <si>
    <t xml:space="preserve">500/70-24</t>
  </si>
  <si>
    <t xml:space="preserve">164A8 TL</t>
  </si>
  <si>
    <t xml:space="preserve">https://onlineshop.bohnenkamp.de/reifen-500-70-r-24-49503.html</t>
  </si>
  <si>
    <t xml:space="preserve">315/60R22.5 Michelin RMXE MULTIWAY XD REMIX 152/148L DRIVE</t>
  </si>
  <si>
    <t xml:space="preserve">315/60R22.5</t>
  </si>
  <si>
    <t xml:space="preserve">RMXE MULTIWAY XD REMIX</t>
  </si>
  <si>
    <t xml:space="preserve">152/148L DRIVE</t>
  </si>
  <si>
    <t xml:space="preserve">https://www.heuver.pl/webshop/product/b31560225rxlmxd00/315-60r22-5-remix-multiway-xd-152-148l-tl-m-s</t>
  </si>
  <si>
    <t xml:space="preserve">315/80R22.5 Michelin RMXE X WORKS D REMIX 156/150K DRIVE</t>
  </si>
  <si>
    <t xml:space="preserve">315/80R22.5</t>
  </si>
  <si>
    <t xml:space="preserve">RMXE X WORKS D REMIX</t>
  </si>
  <si>
    <t xml:space="preserve">156/150K DRIVE</t>
  </si>
  <si>
    <t xml:space="preserve">https://www.xlpneus.com/fr/poids-lourds-mixte-chantier/25417-pneu-michelin-x-works-d-315-80-r-225-156-150k-3pmsf-3528709093378.html</t>
  </si>
  <si>
    <t xml:space="preserve">13R22.5 Michelin X WORKS Z 156/150K 3PMSF</t>
  </si>
  <si>
    <t xml:space="preserve">13R22.5</t>
  </si>
  <si>
    <t xml:space="preserve">X</t>
  </si>
  <si>
    <t xml:space="preserve">WORKS Z 156/150K 3PMSF</t>
  </si>
  <si>
    <t xml:space="preserve">https://www.xlpneus.com/fr/poids-lourds-mixte-chantier/499-pneu-michelin-x-works-d-13r-225-156-150k-3pmsf-3528701758572.html [dopasowano 'X WORKS D']</t>
  </si>
  <si>
    <t xml:space="preserve">13R22.5 Michelin X WORKS HD D 156/151K 3PMSF DRIVE</t>
  </si>
  <si>
    <t xml:space="preserve">WORKS HD D 156/151K 3PMSF DRIVE</t>
  </si>
  <si>
    <t xml:space="preserve">295/80R22.5 Michelin X COACH Z 154/150M 3PMSF M+S</t>
  </si>
  <si>
    <t xml:space="preserve">295/80R22.5</t>
  </si>
  <si>
    <t xml:space="preserve">COACH Z 154/150M 3PMSF M+S</t>
  </si>
  <si>
    <t xml:space="preserve">315/80R22.5 Michelin X WORKS HD D 156/150K 3PMSF M+S DRIVE</t>
  </si>
  <si>
    <t xml:space="preserve">WORKS HD D 156/150K 3PMSF M+S DRIVE</t>
  </si>
  <si>
    <t xml:space="preserve">https://www.xlpneus.com/fr/poids-lourds-mixte-chantier/25417-pneu-michelin-x-works-d-315-80-r-225-156-150k-3pmsf-3528709093378.html [dopasowano 'X WORKS HD D']</t>
  </si>
  <si>
    <t xml:space="preserve">295/60R22.5 Michelin X LINE ENERGY D3 150/147K 3PMSF M+S DRIVE</t>
  </si>
  <si>
    <t xml:space="preserve">295/60R22.5</t>
  </si>
  <si>
    <t xml:space="preserve">X LINE ENERGY</t>
  </si>
  <si>
    <t xml:space="preserve">D3 150/147K 3PMSF M+S DRIVE</t>
  </si>
  <si>
    <t xml:space="preserve">https://www.heuver.com/product/b29560225milxle00/295-60r22-5-michelin-x-line-energy-z-150-147l-tl-m-s-3pmsf [dopasowano 'X LINE ENERGY Z']</t>
  </si>
  <si>
    <t xml:space="preserve">295/60R22.5 Michelin X LINE ENERGY Z 150/147L 3PMSF FRONT</t>
  </si>
  <si>
    <t xml:space="preserve">Z 150/147L 3PMSF FRONT</t>
  </si>
  <si>
    <t xml:space="preserve">315/60R22.5 Michelin X LINE ENERGY Z 3 154L/148L 3PMSF M+S</t>
  </si>
  <si>
    <t xml:space="preserve">Z 3 154L/148L 3PMSF M+S</t>
  </si>
  <si>
    <t xml:space="preserve">https://www.heuver.com/product/b31560225millez00/315-60r22-5-michelin-x-line-energy-z-154-148l-tl-m-s-3pmsf [dopasowano 'X LINE ENERGY Z3']</t>
  </si>
  <si>
    <t xml:space="preserve">315/70R22.5 Michelin X LINE ENERGY Z2 156/150L 3PMSF FRONT</t>
  </si>
  <si>
    <t xml:space="preserve">315/70R22.5</t>
  </si>
  <si>
    <t xml:space="preserve">Z2 156/150L 3PMSF FRONT</t>
  </si>
  <si>
    <t xml:space="preserve">https://www.heuver.com/product/10001792/315-70r22-5-michelin-x-line-energy-z2-156-150l-tl-m-s-3pmsf [dopasowano 'X LINE ENERGY Z2']</t>
  </si>
  <si>
    <t xml:space="preserve">315/80R22.5 Michelin X LINE ENERGY D 156/150L 3PMSF DRIVE</t>
  </si>
  <si>
    <t xml:space="preserve">D 156/150L 3PMSF DRIVE</t>
  </si>
  <si>
    <t xml:space="preserve">355/50R22.5 Michelin X LINE ENERGY Z 3 158K 3PMSF M+S FRONT</t>
  </si>
  <si>
    <t xml:space="preserve">355/50R22.5</t>
  </si>
  <si>
    <t xml:space="preserve">Z 3 158K 3PMSF M+S FRONT</t>
  </si>
  <si>
    <t xml:space="preserve">385/55R22.5 Michelin X LINE ENERGY F 160K 3PMSF FRONT</t>
  </si>
  <si>
    <t xml:space="preserve">385/55R22.5</t>
  </si>
  <si>
    <t xml:space="preserve">F 160K 3PMSF FRONT</t>
  </si>
  <si>
    <t xml:space="preserve">https://www.heuver.com/product/b38555225mikxle01/385-55r22-5-michelin-x-line-energy-f-160k-158l-tl-m-s [dopasowano 'X LINE ENERGY F']</t>
  </si>
  <si>
    <t xml:space="preserve">235/75R17.5 Michelin X LINE ENERGY T (75) 143J 3PMSF</t>
  </si>
  <si>
    <t xml:space="preserve">235/75R17.5</t>
  </si>
  <si>
    <t xml:space="preserve">X LINE ENERGY T</t>
  </si>
  <si>
    <t xml:space="preserve">(75) 143J 3PMSF</t>
  </si>
  <si>
    <t xml:space="preserve">https://www.heuver.com/product/b23575175mijxle00/235-75r17-5-michelin-x-line-energy-t-143-141j-tl</t>
  </si>
  <si>
    <t xml:space="preserve">385/65R22.5 Michelin X LINE ENERGY T 160K</t>
  </si>
  <si>
    <t xml:space="preserve">385/65R22.5</t>
  </si>
  <si>
    <t xml:space="preserve">160K</t>
  </si>
  <si>
    <t xml:space="preserve">https://www.heuver.com/product/10001383/385-65r22-5-michelin-x-multi-z-160k-tl-m-s-3pmsf [dopasowano 'X MULTI Z']</t>
  </si>
  <si>
    <t xml:space="preserve">315/70R22.5 Michelin X MULTI ENERGY Z2 158/150L 3PMSF M+S FRONT</t>
  </si>
  <si>
    <t xml:space="preserve">X MULTI</t>
  </si>
  <si>
    <t xml:space="preserve">ENERGY Z2 158/150L 3PMSF M+S FRONT</t>
  </si>
  <si>
    <t xml:space="preserve">315/80R22.5 Michelin X MULTI ENERGY Z 156L 3PMSF M+S FRONT</t>
  </si>
  <si>
    <t xml:space="preserve">ENERGY Z 156L 3PMSF M+S FRONT</t>
  </si>
  <si>
    <t xml:space="preserve">315/80R22.5 Michelin X MULTI ENERGY D 156/150L 3PMSF M+S DRIVE</t>
  </si>
  <si>
    <t xml:space="preserve">ENERGY D 156/150L 3PMSF M+S DRIVE</t>
  </si>
  <si>
    <t xml:space="preserve">315/80R22.5 Michelin X MULTI ENERGY D2 156/150L 3PMSF M+S DRIVE</t>
  </si>
  <si>
    <t xml:space="preserve">ENERGY D2 156/150L 3PMSF M+S DRIVE</t>
  </si>
  <si>
    <t xml:space="preserve">385/55R22.5 Michelin X MULTI F 160K 3PMSF FRONT</t>
  </si>
  <si>
    <t xml:space="preserve">225/75R17.5 Michelin X MULTI D 129/127M 3PMSF M+S DRIVE</t>
  </si>
  <si>
    <t xml:space="preserve">225/75R17.5</t>
  </si>
  <si>
    <t xml:space="preserve">X MULTI D</t>
  </si>
  <si>
    <t xml:space="preserve">129/127M 3PMSF M+S DRIVE</t>
  </si>
  <si>
    <t xml:space="preserve">https://www.xlpneus.com/fr/poids-lourds-regional/469-pneu-michelin-x-multi-z-225-75-r-175-129-127m-3pmsf-3528708317581.html [dopasowano 'X Multi Z']</t>
  </si>
  <si>
    <t xml:space="preserve">265/70R17.5 Michelin X MULTI D 140/138M 3PMSF DRIVE</t>
  </si>
  <si>
    <t xml:space="preserve">265/70R17.5</t>
  </si>
  <si>
    <t xml:space="preserve">140/138M 3PMSF DRIVE</t>
  </si>
  <si>
    <t xml:space="preserve">295/60R22.5 Michelin X MULTI D 150/147L 3PMSF M+S DRIVE</t>
  </si>
  <si>
    <t xml:space="preserve">150/147L 3PMSF M+S DRIVE</t>
  </si>
  <si>
    <t xml:space="preserve">https://www.heuver.com/product/b29560225milxmu00/295-60r22-5-michelin-x-multi-d-150-147l-tl-m-s-3pmsf</t>
  </si>
  <si>
    <t xml:space="preserve">315/60R22.5 Michelin X MULTI D 152/148L 3PMSF DRIVE</t>
  </si>
  <si>
    <t xml:space="preserve">152/148L 3PMSF DRIVE</t>
  </si>
  <si>
    <t xml:space="preserve">315/70R22.5 Michelin X MULTI D 154/150L 3PMSF DRIVE</t>
  </si>
  <si>
    <t xml:space="preserve">154/150L 3PMSF DRIVE</t>
  </si>
  <si>
    <t xml:space="preserve">https://www.heuver.com/product/b31570225milxmu01/315-70r22-5-michelin-x-multi-d-154-150l-tl-m-s-3pmsf</t>
  </si>
  <si>
    <t xml:space="preserve">265/70R19.5 Michelin X MULTI D2 140/138M 3PMSF M+S DRIVE</t>
  </si>
  <si>
    <t xml:space="preserve">265/70R19.5</t>
  </si>
  <si>
    <t xml:space="preserve">X MULTI D2</t>
  </si>
  <si>
    <t xml:space="preserve">140/138M 3PMSF M+S DRIVE</t>
  </si>
  <si>
    <t xml:space="preserve">https://www.heuver.com/product/b26570195mimxmu00/265-70r19-5-michelin-x-multi-d-140-138m-tl-m-s-3pmsf</t>
  </si>
  <si>
    <t xml:space="preserve">235/75R17.5 Michelin X MULTI T2 143/141J 3PMSF M+S</t>
  </si>
  <si>
    <t xml:space="preserve">X MULTI T2</t>
  </si>
  <si>
    <t xml:space="preserve">143/141J 3PMSF M+S</t>
  </si>
  <si>
    <t xml:space="preserve">https://www.xlpneus.com/fr/pneus-poids-lourd/24469-pneu-michelin-x-multi-t2-235-75-r-175-143-141j-3pmsf-3528706917455.html</t>
  </si>
  <si>
    <t xml:space="preserve">245/70R19.5 Michelin X MULTI Z 135/134M 3PMSF</t>
  </si>
  <si>
    <t xml:space="preserve">245/70R19.5</t>
  </si>
  <si>
    <t xml:space="preserve">X MULTI Z</t>
  </si>
  <si>
    <t xml:space="preserve">135/134M 3PMSF</t>
  </si>
  <si>
    <t xml:space="preserve">https://www.heuver.com/product/b24570195mimxmu01/245-70r19-5-michelin-x-multi-z-136-134m-16pr-tl-m-s-3pmsf</t>
  </si>
  <si>
    <t xml:space="preserve">315/70R22.5 Michelin X MULTI Z 156/150L 3PMSF M+S</t>
  </si>
  <si>
    <t xml:space="preserve">156/150L 3PMSF M+S</t>
  </si>
  <si>
    <t xml:space="preserve">https://www.allpneus.com/catalogue/pneus-poids-lourd/michelin/pneus-poids-lourd-regional/x-multi-z/297620</t>
  </si>
  <si>
    <t xml:space="preserve">315/80R22.5 Michelin X MULTI Z 156/150L 3PMSF M+S</t>
  </si>
  <si>
    <t xml:space="preserve">https://www.heuver.com/product/10002865/315-80r22-5-michelin-x-multi-z-156-150l-tl-m-s-3pmsf</t>
  </si>
  <si>
    <t xml:space="preserve">385/65R22.5 Michelin X MULTI Z+ AS 160K 3PMSF M+S</t>
  </si>
  <si>
    <t xml:space="preserve">+ AS 160K 3PMSF M+S</t>
  </si>
  <si>
    <t xml:space="preserve">https://www.heuver.com/product/10001383/385-65r22-5-michelin-x-multi-z-160k-tl-m-s-3pmsf</t>
  </si>
  <si>
    <t xml:space="preserve">13R22.5 Michelin X WORKS D 156/150K 3PMSF DRIVE</t>
  </si>
  <si>
    <t xml:space="preserve">X WORKS D</t>
  </si>
  <si>
    <t xml:space="preserve">156/150K 3PMSF DRIVE</t>
  </si>
  <si>
    <t xml:space="preserve">https://www.xlpneus.com/fr/poids-lourds-mixte-chantier/499-pneu-michelin-x-works-d-13r-225-156-150k-3pmsf-3528701758572.html</t>
  </si>
  <si>
    <t xml:space="preserve">445/70R19.5 Michelin XF 173A8/180A2 TL</t>
  </si>
  <si>
    <t xml:space="preserve">445/70R19.5</t>
  </si>
  <si>
    <t xml:space="preserve">XF</t>
  </si>
  <si>
    <t xml:space="preserve">173A8/180A2 TL</t>
  </si>
  <si>
    <t xml:space="preserve">https://www.heuver.com/webshop/product/b44570195mia8xfl01/445-70r19-5-michelin-xf-173a8-180a2-tl-oe</t>
  </si>
  <si>
    <t xml:space="preserve">16.9R24 Michelin XMCL 161A8 TL</t>
  </si>
  <si>
    <t xml:space="preserve">16.9R24</t>
  </si>
  <si>
    <t xml:space="preserve">XMCL</t>
  </si>
  <si>
    <t xml:space="preserve">161A8 TL</t>
  </si>
  <si>
    <t xml:space="preserve">https://www.heuver.com/product/b44080024mia8xmc00/440-80r24-michelin-xmcl-161a8-161b-18pr-tl</t>
  </si>
  <si>
    <t xml:space="preserve">340/80R18 Michelin XMCL 143A8/143B TL</t>
  </si>
  <si>
    <t xml:space="preserve">https://onlineshop.bohnenkamp.at/de/reifen-michelin-xmcl-340-80-r-18-13327320</t>
  </si>
  <si>
    <t xml:space="preserve">340/80R20 Michelin XMCL 144A8/144B TL</t>
  </si>
  <si>
    <t xml:space="preserve">340/80R20</t>
  </si>
  <si>
    <t xml:space="preserve">144A8/144B TL</t>
  </si>
  <si>
    <t xml:space="preserve">https://www.heuver.com/product/b34080020mia8xmc00/340-80r20-michelin-xmcl-144a8-144b-12pr-tl</t>
  </si>
  <si>
    <t xml:space="preserve">380/75R20 Michelin XMCL 148A8/148B TL</t>
  </si>
  <si>
    <t xml:space="preserve">380/75R20</t>
  </si>
  <si>
    <t xml:space="preserve">148A8/148B TL</t>
  </si>
  <si>
    <t xml:space="preserve">https://www.allpneus.com/catalogue/pneus-agricole/michelin/pneus-industriel-genie-civil/xmcl/248842</t>
  </si>
  <si>
    <t xml:space="preserve">400/70R20 Michelin XMCL 149A8/149B TL</t>
  </si>
  <si>
    <t xml:space="preserve">https://rengastukkurit.fi/tuote/400-70r20-149a8-michelin-xmcl-tl/</t>
  </si>
  <si>
    <t xml:space="preserve">400/70R24 Michelin XMCL 152A8/152B TL</t>
  </si>
  <si>
    <t xml:space="preserve">400/70R24</t>
  </si>
  <si>
    <t xml:space="preserve">https://onlineshop.bohnenkamp.de/de/reifen-michelin-xmcl-400-70-r-24-13327370</t>
  </si>
  <si>
    <t xml:space="preserve">440/80R28 Michelin XMCL 156A8/156B TL</t>
  </si>
  <si>
    <t xml:space="preserve">440/80R28</t>
  </si>
  <si>
    <t xml:space="preserve">156A8/156B TL</t>
  </si>
  <si>
    <t xml:space="preserve">https://shinprom.ru/catalog/-r-michelin-xmcl-ab-ind-tl/</t>
  </si>
  <si>
    <t xml:space="preserve">460/70R24 Michelin XMCL 159A8/159B TL</t>
  </si>
  <si>
    <t xml:space="preserve">https://www.de.working-tyres.eu/em-mpt-implement-reifen/em-reifen/michelin-xmcl-460/70r24-17.5r24-159a8/159b-tl.html</t>
  </si>
  <si>
    <t xml:space="preserve">500/70R24 Michelin XMCL 164A8/164B TL</t>
  </si>
  <si>
    <t xml:space="preserve">https://www.heuver.com/product/b50070024mia8xmc00/500-70r24-michelin-xmcl-164a8-164b-20pr-tl</t>
  </si>
  <si>
    <t xml:space="preserve">385/65R22.5 Michelin XTE3 160J M+S</t>
  </si>
  <si>
    <t xml:space="preserve">XTE3</t>
  </si>
  <si>
    <t xml:space="preserve">160J M+S</t>
  </si>
  <si>
    <t xml:space="preserve">https://www.safame.com/38565-R225-XTE3-160J_es_7_4903_0_0.html</t>
  </si>
  <si>
    <t xml:space="preserve">255/100R16 Michelin XZL 126K</t>
  </si>
  <si>
    <t xml:space="preserve">255/100R16</t>
  </si>
  <si>
    <t xml:space="preserve">XZL</t>
  </si>
  <si>
    <t xml:space="preserve">126K</t>
  </si>
  <si>
    <t xml:space="preserve">https://buybigtyres.com/product/900r16-michelin-xzl-16000900025200</t>
  </si>
  <si>
    <t xml:space="preserve">Wypełnione</t>
  </si>
  <si>
    <t xml:space="preserve">Wszystkie</t>
  </si>
  <si>
    <t xml:space="preserve">% pokrycia</t>
  </si>
  <si>
    <t xml:space="preserve">RAZEM</t>
  </si>
  <si>
    <t xml:space="preserve">Michelin - wagi opon</t>
  </si>
  <si>
    <t xml:space="preserve">Data przygotowania: 2026-07-14</t>
  </si>
  <si>
    <t xml:space="preserve">Liczba pozycji: 106</t>
  </si>
  <si>
    <t xml:space="preserve">Wypełnione wagi: 101 (95.3%)</t>
  </si>
  <si>
    <t xml:space="preserve">Braki: 5</t>
  </si>
  <si>
    <t xml:space="preserve">Metodologia:</t>
  </si>
  <si>
    <t xml:space="preserve">- Klasyfikacja 106 pozycji Michelin na 25 serii</t>
  </si>
  <si>
    <t xml:space="preserve">- Grupowanie w 3 kategorie: rolnicze (Agribib/Multibib/Machxbib), przemysłowe (XMCL/Bibload/Power CL), ciężarowe (X Multi/X Line)</t>
  </si>
  <si>
    <t xml:space="preserve">- Zbieranie wag przez subagentów - Michelin ma bardzo dobrą dokumentację techniczną</t>
  </si>
  <si>
    <t xml:space="preserve">- Weryfikacja: waga = MASA opony (Poids/Weight/Nettogewicht), nie nośność</t>
  </si>
  <si>
    <t xml:space="preserve">- lbs → kg: kg = lbs / 2.20462</t>
  </si>
  <si>
    <t xml:space="preserve">Źródła:</t>
  </si>
  <si>
    <t xml:space="preserve">1. heuver.com (pole "Weight kg" na kartach produktów)</t>
  </si>
  <si>
    <t xml:space="preserve">2. bohnenkamp.de / .at / .ch / .pl</t>
  </si>
  <si>
    <t xml:space="preserve">3. xlpneus.com, allpneus.com, safame.com</t>
  </si>
  <si>
    <t xml:space="preserve">4. kreissler24.de, baywa.de, working-tyres</t>
  </si>
  <si>
    <t xml:space="preserve">5. e-agropneu.cz / .de / .sk</t>
  </si>
  <si>
    <t xml:space="preserve">Pokrycie per grupa:</t>
  </si>
  <si>
    <t xml:space="preserve">- rolnicze (Agribib/Multibib/Machxbib): 98% (40/41)</t>
  </si>
  <si>
    <t xml:space="preserve">- przemysłowe (XMCL/Bibload/Power CL): 97% (31/32)</t>
  </si>
  <si>
    <t xml:space="preserve">- ciężarowe (X Multi/X Line/RMXE): 88% (28/32)</t>
  </si>
  <si>
    <t xml:space="preserve">Uwagi:</t>
  </si>
  <si>
    <t xml:space="preserve">- Rozpoznane rozmiary równoważne: 16.9-24 = 440/80-24, 18.4-26 = 480/80-26</t>
  </si>
  <si>
    <t xml:space="preserve">- Kreissler24 katalog MACHXBIB podaje wartości w lbs, nie kg - świadomie odrzucone</t>
  </si>
  <si>
    <t xml:space="preserve">- REMIX = wersja bieżnikowana (waga zbliżona do bazowej)</t>
  </si>
  <si>
    <t xml:space="preserve">- CROSSGRIP 400/80R24: n.a. (Norgesdekk podaje objętość opony w litrach, nie masę)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</si>
</sst>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2"/>
      <color rgb="FF01696F"/>
      <name val="Calibri"/>
      <family val="0"/>
      <charset val="1"/>
    </font>
    <font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1696F"/>
        <bgColor rgb="FF008080"/>
      </patternFill>
    </fill>
    <fill>
      <patternFill patternType="solid">
        <fgColor rgb="FFF1F8E9"/>
        <bgColor rgb="FFE0F2F1"/>
      </patternFill>
    </fill>
    <fill>
      <patternFill patternType="solid">
        <fgColor rgb="FFFBE9E7"/>
        <bgColor rgb="FFF1F8E9"/>
      </patternFill>
    </fill>
    <fill>
      <patternFill patternType="solid">
        <fgColor rgb="FFE0F2F1"/>
        <bgColor rgb="FFF1F8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D4D1CA"/>
      <rgbColor rgb="FF808080"/>
      <rgbColor rgb="FF9999FF"/>
      <rgbColor rgb="FF993366"/>
      <rgbColor rgb="FFF1F8E9"/>
      <rgbColor rgb="FFE0F2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70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80"/>
  </cols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customFormat="false" ht="15" hidden="false" customHeight="false" outlineLevel="0" collapsed="false">
      <c r="B3" s="2" t="n">
        <v>1</v>
      </c>
      <c r="C3" s="3" t="s">
        <v>7</v>
      </c>
      <c r="D3" s="2" t="s">
        <v>8</v>
      </c>
      <c r="E3" s="3" t="s">
        <v>9</v>
      </c>
      <c r="F3" s="3" t="s">
        <v>10</v>
      </c>
      <c r="G3" s="4" t="n">
        <v>107</v>
      </c>
      <c r="H3" s="3" t="s">
        <v>11</v>
      </c>
    </row>
    <row r="4" customFormat="false" ht="15" hidden="false" customHeight="false" outlineLevel="0" collapsed="false">
      <c r="B4" s="2" t="n">
        <v>2</v>
      </c>
      <c r="C4" s="3" t="s">
        <v>12</v>
      </c>
      <c r="D4" s="2" t="s">
        <v>13</v>
      </c>
      <c r="E4" s="3" t="s">
        <v>9</v>
      </c>
      <c r="F4" s="3" t="s">
        <v>14</v>
      </c>
      <c r="G4" s="4" t="n">
        <v>115</v>
      </c>
      <c r="H4" s="3" t="s">
        <v>15</v>
      </c>
    </row>
    <row r="5" customFormat="false" ht="15" hidden="false" customHeight="false" outlineLevel="0" collapsed="false">
      <c r="B5" s="2" t="n">
        <v>3</v>
      </c>
      <c r="C5" s="3" t="s">
        <v>16</v>
      </c>
      <c r="D5" s="2" t="s">
        <v>17</v>
      </c>
      <c r="E5" s="3" t="s">
        <v>18</v>
      </c>
      <c r="F5" s="3" t="s">
        <v>19</v>
      </c>
      <c r="G5" s="4" t="n">
        <v>70</v>
      </c>
      <c r="H5" s="3" t="s">
        <v>20</v>
      </c>
    </row>
    <row r="6" customFormat="false" ht="15" hidden="false" customHeight="false" outlineLevel="0" collapsed="false">
      <c r="B6" s="2" t="n">
        <v>4</v>
      </c>
      <c r="C6" s="3" t="s">
        <v>21</v>
      </c>
      <c r="D6" s="2" t="s">
        <v>22</v>
      </c>
      <c r="E6" s="3" t="s">
        <v>18</v>
      </c>
      <c r="F6" s="3" t="s">
        <v>23</v>
      </c>
      <c r="G6" s="4" t="n">
        <v>91</v>
      </c>
      <c r="H6" s="3" t="s">
        <v>24</v>
      </c>
    </row>
    <row r="7" customFormat="false" ht="15" hidden="false" customHeight="false" outlineLevel="0" collapsed="false">
      <c r="B7" s="2" t="n">
        <v>5</v>
      </c>
      <c r="C7" s="3" t="s">
        <v>25</v>
      </c>
      <c r="D7" s="2" t="s">
        <v>26</v>
      </c>
      <c r="E7" s="3" t="s">
        <v>18</v>
      </c>
      <c r="F7" s="3" t="s">
        <v>27</v>
      </c>
      <c r="G7" s="4" t="n">
        <v>80</v>
      </c>
      <c r="H7" s="3" t="s">
        <v>28</v>
      </c>
    </row>
    <row r="8" customFormat="false" ht="15" hidden="false" customHeight="false" outlineLevel="0" collapsed="false">
      <c r="B8" s="2" t="n">
        <v>6</v>
      </c>
      <c r="C8" s="3" t="s">
        <v>29</v>
      </c>
      <c r="D8" s="2" t="s">
        <v>30</v>
      </c>
      <c r="E8" s="3" t="s">
        <v>18</v>
      </c>
      <c r="F8" s="3" t="s">
        <v>31</v>
      </c>
      <c r="G8" s="4" t="n">
        <v>130</v>
      </c>
      <c r="H8" s="3" t="s">
        <v>32</v>
      </c>
    </row>
    <row r="9" customFormat="false" ht="15" hidden="false" customHeight="false" outlineLevel="0" collapsed="false">
      <c r="B9" s="2" t="n">
        <v>7</v>
      </c>
      <c r="C9" s="3" t="s">
        <v>33</v>
      </c>
      <c r="D9" s="2" t="s">
        <v>34</v>
      </c>
      <c r="E9" s="3" t="s">
        <v>18</v>
      </c>
      <c r="F9" s="3" t="s">
        <v>35</v>
      </c>
      <c r="G9" s="4" t="n">
        <v>130</v>
      </c>
      <c r="H9" s="3" t="s">
        <v>36</v>
      </c>
    </row>
    <row r="10" customFormat="false" ht="15" hidden="false" customHeight="false" outlineLevel="0" collapsed="false">
      <c r="B10" s="2" t="n">
        <v>8</v>
      </c>
      <c r="C10" s="3" t="s">
        <v>37</v>
      </c>
      <c r="D10" s="2" t="s">
        <v>38</v>
      </c>
      <c r="E10" s="3" t="s">
        <v>18</v>
      </c>
      <c r="F10" s="3" t="s">
        <v>14</v>
      </c>
      <c r="G10" s="4" t="n">
        <v>105</v>
      </c>
      <c r="H10" s="3" t="s">
        <v>39</v>
      </c>
    </row>
    <row r="11" customFormat="false" ht="15" hidden="false" customHeight="false" outlineLevel="0" collapsed="false">
      <c r="B11" s="2" t="n">
        <v>9</v>
      </c>
      <c r="C11" s="3" t="s">
        <v>40</v>
      </c>
      <c r="D11" s="2" t="s">
        <v>41</v>
      </c>
      <c r="E11" s="3" t="s">
        <v>18</v>
      </c>
      <c r="F11" s="3" t="s">
        <v>42</v>
      </c>
      <c r="G11" s="4" t="n">
        <v>127</v>
      </c>
      <c r="H11" s="3" t="s">
        <v>43</v>
      </c>
    </row>
    <row r="12" customFormat="false" ht="15" hidden="false" customHeight="false" outlineLevel="0" collapsed="false">
      <c r="B12" s="2" t="n">
        <v>10</v>
      </c>
      <c r="C12" s="3" t="s">
        <v>40</v>
      </c>
      <c r="D12" s="2" t="s">
        <v>41</v>
      </c>
      <c r="E12" s="3" t="s">
        <v>18</v>
      </c>
      <c r="F12" s="3" t="s">
        <v>42</v>
      </c>
      <c r="G12" s="4" t="n">
        <v>127</v>
      </c>
      <c r="H12" s="3" t="s">
        <v>43</v>
      </c>
    </row>
    <row r="13" customFormat="false" ht="15" hidden="false" customHeight="false" outlineLevel="0" collapsed="false">
      <c r="B13" s="2" t="n">
        <v>11</v>
      </c>
      <c r="C13" s="3" t="s">
        <v>44</v>
      </c>
      <c r="D13" s="2" t="s">
        <v>45</v>
      </c>
      <c r="E13" s="3" t="s">
        <v>18</v>
      </c>
      <c r="F13" s="3" t="s">
        <v>46</v>
      </c>
      <c r="G13" s="4" t="n">
        <v>150</v>
      </c>
      <c r="H13" s="3" t="s">
        <v>47</v>
      </c>
    </row>
    <row r="14" customFormat="false" ht="15" hidden="false" customHeight="false" outlineLevel="0" collapsed="false">
      <c r="B14" s="2" t="n">
        <v>12</v>
      </c>
      <c r="C14" s="3" t="s">
        <v>48</v>
      </c>
      <c r="D14" s="2" t="s">
        <v>49</v>
      </c>
      <c r="E14" s="3" t="s">
        <v>18</v>
      </c>
      <c r="F14" s="3" t="s">
        <v>50</v>
      </c>
      <c r="G14" s="4" t="n">
        <v>160</v>
      </c>
      <c r="H14" s="3" t="s">
        <v>51</v>
      </c>
    </row>
    <row r="15" customFormat="false" ht="15" hidden="false" customHeight="false" outlineLevel="0" collapsed="false">
      <c r="B15" s="2" t="n">
        <v>13</v>
      </c>
      <c r="C15" s="3" t="s">
        <v>52</v>
      </c>
      <c r="D15" s="2" t="s">
        <v>53</v>
      </c>
      <c r="E15" s="3" t="s">
        <v>18</v>
      </c>
      <c r="F15" s="3" t="s">
        <v>54</v>
      </c>
      <c r="G15" s="4" t="n">
        <v>170</v>
      </c>
      <c r="H15" s="3" t="s">
        <v>55</v>
      </c>
    </row>
    <row r="16" customFormat="false" ht="15" hidden="false" customHeight="false" outlineLevel="0" collapsed="false">
      <c r="B16" s="2" t="n">
        <v>14</v>
      </c>
      <c r="C16" s="3" t="s">
        <v>56</v>
      </c>
      <c r="D16" s="2" t="s">
        <v>57</v>
      </c>
      <c r="E16" s="3" t="s">
        <v>18</v>
      </c>
      <c r="F16" s="3" t="s">
        <v>58</v>
      </c>
      <c r="G16" s="4" t="n">
        <v>180</v>
      </c>
      <c r="H16" s="3" t="s">
        <v>59</v>
      </c>
    </row>
    <row r="17" customFormat="false" ht="15" hidden="false" customHeight="false" outlineLevel="0" collapsed="false">
      <c r="B17" s="2" t="n">
        <v>15</v>
      </c>
      <c r="C17" s="3" t="s">
        <v>60</v>
      </c>
      <c r="D17" s="2" t="s">
        <v>61</v>
      </c>
      <c r="E17" s="3" t="s">
        <v>18</v>
      </c>
      <c r="F17" s="3" t="s">
        <v>62</v>
      </c>
      <c r="G17" s="4" t="n">
        <v>190</v>
      </c>
      <c r="H17" s="3" t="s">
        <v>63</v>
      </c>
    </row>
    <row r="18" customFormat="false" ht="15" hidden="false" customHeight="false" outlineLevel="0" collapsed="false">
      <c r="B18" s="2" t="n">
        <v>16</v>
      </c>
      <c r="C18" s="3" t="s">
        <v>64</v>
      </c>
      <c r="D18" s="2" t="s">
        <v>65</v>
      </c>
      <c r="E18" s="3" t="s">
        <v>66</v>
      </c>
      <c r="F18" s="3" t="s">
        <v>67</v>
      </c>
      <c r="G18" s="4" t="n">
        <v>59</v>
      </c>
      <c r="H18" s="3" t="s">
        <v>68</v>
      </c>
    </row>
    <row r="19" customFormat="false" ht="15" hidden="false" customHeight="false" outlineLevel="0" collapsed="false">
      <c r="B19" s="2" t="n">
        <v>17</v>
      </c>
      <c r="C19" s="3" t="s">
        <v>64</v>
      </c>
      <c r="D19" s="2" t="s">
        <v>65</v>
      </c>
      <c r="E19" s="3" t="s">
        <v>66</v>
      </c>
      <c r="F19" s="3" t="s">
        <v>67</v>
      </c>
      <c r="G19" s="4" t="n">
        <v>59</v>
      </c>
      <c r="H19" s="3" t="s">
        <v>68</v>
      </c>
    </row>
    <row r="20" customFormat="false" ht="15" hidden="false" customHeight="false" outlineLevel="0" collapsed="false">
      <c r="B20" s="2" t="n">
        <v>18</v>
      </c>
      <c r="C20" s="3" t="s">
        <v>69</v>
      </c>
      <c r="D20" s="2" t="s">
        <v>70</v>
      </c>
      <c r="E20" s="3" t="s">
        <v>66</v>
      </c>
      <c r="F20" s="3" t="s">
        <v>71</v>
      </c>
      <c r="G20" s="4" t="n">
        <v>63</v>
      </c>
      <c r="H20" s="3" t="s">
        <v>72</v>
      </c>
    </row>
    <row r="21" customFormat="false" ht="15" hidden="false" customHeight="false" outlineLevel="0" collapsed="false">
      <c r="B21" s="2" t="n">
        <v>19</v>
      </c>
      <c r="C21" s="3" t="s">
        <v>73</v>
      </c>
      <c r="D21" s="2" t="s">
        <v>74</v>
      </c>
      <c r="E21" s="3" t="s">
        <v>66</v>
      </c>
      <c r="F21" s="3" t="s">
        <v>75</v>
      </c>
      <c r="G21" s="4" t="n">
        <v>68.8</v>
      </c>
      <c r="H21" s="3" t="s">
        <v>76</v>
      </c>
    </row>
    <row r="22" customFormat="false" ht="15" hidden="false" customHeight="false" outlineLevel="0" collapsed="false">
      <c r="B22" s="2" t="n">
        <v>20</v>
      </c>
      <c r="C22" s="3" t="s">
        <v>73</v>
      </c>
      <c r="D22" s="2" t="s">
        <v>74</v>
      </c>
      <c r="E22" s="3" t="s">
        <v>66</v>
      </c>
      <c r="F22" s="3" t="s">
        <v>75</v>
      </c>
      <c r="G22" s="4" t="n">
        <v>68.8</v>
      </c>
      <c r="H22" s="3" t="s">
        <v>76</v>
      </c>
    </row>
    <row r="23" customFormat="false" ht="15" hidden="false" customHeight="false" outlineLevel="0" collapsed="false">
      <c r="B23" s="2" t="n">
        <v>21</v>
      </c>
      <c r="C23" s="3" t="s">
        <v>77</v>
      </c>
      <c r="D23" s="2" t="s">
        <v>78</v>
      </c>
      <c r="E23" s="3" t="s">
        <v>66</v>
      </c>
      <c r="F23" s="3" t="s">
        <v>79</v>
      </c>
      <c r="G23" s="4" t="n">
        <v>101.3</v>
      </c>
      <c r="H23" s="3" t="s">
        <v>80</v>
      </c>
    </row>
    <row r="24" customFormat="false" ht="15" hidden="false" customHeight="false" outlineLevel="0" collapsed="false">
      <c r="B24" s="2" t="n">
        <v>22</v>
      </c>
      <c r="C24" s="3" t="s">
        <v>81</v>
      </c>
      <c r="D24" s="2" t="s">
        <v>82</v>
      </c>
      <c r="E24" s="3" t="s">
        <v>66</v>
      </c>
      <c r="F24" s="3" t="s">
        <v>83</v>
      </c>
      <c r="G24" s="4" t="n">
        <v>113.7</v>
      </c>
      <c r="H24" s="3" t="s">
        <v>84</v>
      </c>
    </row>
    <row r="25" customFormat="false" ht="15" hidden="false" customHeight="false" outlineLevel="0" collapsed="false">
      <c r="B25" s="5" t="n">
        <v>23</v>
      </c>
      <c r="C25" s="6" t="s">
        <v>85</v>
      </c>
      <c r="D25" s="5" t="s">
        <v>86</v>
      </c>
      <c r="E25" s="6" t="s">
        <v>87</v>
      </c>
      <c r="F25" s="6" t="s">
        <v>88</v>
      </c>
      <c r="G25" s="7"/>
      <c r="H25" s="6"/>
    </row>
    <row r="26" customFormat="false" ht="15" hidden="false" customHeight="false" outlineLevel="0" collapsed="false">
      <c r="B26" s="2" t="n">
        <v>24</v>
      </c>
      <c r="C26" s="3" t="s">
        <v>89</v>
      </c>
      <c r="D26" s="2" t="s">
        <v>90</v>
      </c>
      <c r="E26" s="3" t="s">
        <v>91</v>
      </c>
      <c r="F26" s="3" t="s">
        <v>92</v>
      </c>
      <c r="G26" s="4" t="n">
        <v>161.5</v>
      </c>
      <c r="H26" s="3" t="s">
        <v>93</v>
      </c>
    </row>
    <row r="27" customFormat="false" ht="15" hidden="false" customHeight="false" outlineLevel="0" collapsed="false">
      <c r="B27" s="2" t="n">
        <v>25</v>
      </c>
      <c r="C27" s="3" t="s">
        <v>94</v>
      </c>
      <c r="D27" s="2" t="s">
        <v>90</v>
      </c>
      <c r="E27" s="3" t="s">
        <v>91</v>
      </c>
      <c r="F27" s="3" t="s">
        <v>92</v>
      </c>
      <c r="G27" s="4" t="n">
        <v>161.5</v>
      </c>
      <c r="H27" s="3" t="s">
        <v>93</v>
      </c>
    </row>
    <row r="28" customFormat="false" ht="15" hidden="false" customHeight="false" outlineLevel="0" collapsed="false">
      <c r="B28" s="2" t="n">
        <v>26</v>
      </c>
      <c r="C28" s="3" t="s">
        <v>95</v>
      </c>
      <c r="D28" s="2" t="s">
        <v>96</v>
      </c>
      <c r="E28" s="3" t="s">
        <v>91</v>
      </c>
      <c r="F28" s="3" t="s">
        <v>97</v>
      </c>
      <c r="G28" s="4" t="n">
        <v>200</v>
      </c>
      <c r="H28" s="3" t="s">
        <v>98</v>
      </c>
    </row>
    <row r="29" customFormat="false" ht="15" hidden="false" customHeight="false" outlineLevel="0" collapsed="false">
      <c r="B29" s="2" t="n">
        <v>27</v>
      </c>
      <c r="C29" s="3" t="s">
        <v>99</v>
      </c>
      <c r="D29" s="2" t="s">
        <v>96</v>
      </c>
      <c r="E29" s="3" t="s">
        <v>91</v>
      </c>
      <c r="F29" s="3" t="s">
        <v>100</v>
      </c>
      <c r="G29" s="4" t="n">
        <v>200</v>
      </c>
      <c r="H29" s="3" t="s">
        <v>98</v>
      </c>
    </row>
    <row r="30" customFormat="false" ht="15" hidden="false" customHeight="false" outlineLevel="0" collapsed="false">
      <c r="B30" s="2" t="n">
        <v>28</v>
      </c>
      <c r="C30" s="3" t="s">
        <v>101</v>
      </c>
      <c r="D30" s="2" t="s">
        <v>102</v>
      </c>
      <c r="E30" s="3" t="s">
        <v>91</v>
      </c>
      <c r="F30" s="3" t="s">
        <v>103</v>
      </c>
      <c r="G30" s="4" t="n">
        <v>220</v>
      </c>
      <c r="H30" s="3" t="s">
        <v>104</v>
      </c>
    </row>
    <row r="31" customFormat="false" ht="15" hidden="false" customHeight="false" outlineLevel="0" collapsed="false">
      <c r="B31" s="2" t="n">
        <v>29</v>
      </c>
      <c r="C31" s="3" t="s">
        <v>105</v>
      </c>
      <c r="D31" s="2" t="s">
        <v>106</v>
      </c>
      <c r="E31" s="3" t="s">
        <v>91</v>
      </c>
      <c r="F31" s="3" t="s">
        <v>107</v>
      </c>
      <c r="G31" s="4" t="n">
        <v>318</v>
      </c>
      <c r="H31" s="3" t="s">
        <v>108</v>
      </c>
    </row>
    <row r="32" customFormat="false" ht="15" hidden="false" customHeight="false" outlineLevel="0" collapsed="false">
      <c r="B32" s="2" t="n">
        <v>30</v>
      </c>
      <c r="C32" s="3" t="s">
        <v>109</v>
      </c>
      <c r="D32" s="2" t="s">
        <v>106</v>
      </c>
      <c r="E32" s="3" t="s">
        <v>91</v>
      </c>
      <c r="F32" s="3" t="s">
        <v>110</v>
      </c>
      <c r="G32" s="4" t="n">
        <v>318</v>
      </c>
      <c r="H32" s="3" t="s">
        <v>108</v>
      </c>
    </row>
    <row r="33" customFormat="false" ht="15" hidden="false" customHeight="false" outlineLevel="0" collapsed="false">
      <c r="B33" s="2" t="n">
        <v>31</v>
      </c>
      <c r="C33" s="3" t="s">
        <v>111</v>
      </c>
      <c r="D33" s="2" t="s">
        <v>112</v>
      </c>
      <c r="E33" s="3" t="s">
        <v>91</v>
      </c>
      <c r="F33" s="3" t="s">
        <v>113</v>
      </c>
      <c r="G33" s="4" t="n">
        <v>385</v>
      </c>
      <c r="H33" s="3" t="s">
        <v>114</v>
      </c>
    </row>
    <row r="34" customFormat="false" ht="15" hidden="false" customHeight="false" outlineLevel="0" collapsed="false">
      <c r="B34" s="2" t="n">
        <v>32</v>
      </c>
      <c r="C34" s="3" t="s">
        <v>115</v>
      </c>
      <c r="D34" s="2" t="s">
        <v>116</v>
      </c>
      <c r="E34" s="3" t="s">
        <v>91</v>
      </c>
      <c r="F34" s="3" t="s">
        <v>110</v>
      </c>
      <c r="G34" s="4" t="n">
        <v>364</v>
      </c>
      <c r="H34" s="3" t="s">
        <v>117</v>
      </c>
    </row>
    <row r="35" customFormat="false" ht="15" hidden="false" customHeight="false" outlineLevel="0" collapsed="false">
      <c r="B35" s="2" t="n">
        <v>33</v>
      </c>
      <c r="C35" s="3" t="s">
        <v>118</v>
      </c>
      <c r="D35" s="2" t="s">
        <v>119</v>
      </c>
      <c r="E35" s="3" t="s">
        <v>120</v>
      </c>
      <c r="F35" s="3" t="s">
        <v>121</v>
      </c>
      <c r="G35" s="4" t="n">
        <v>384</v>
      </c>
      <c r="H35" s="3" t="s">
        <v>122</v>
      </c>
    </row>
    <row r="36" customFormat="false" ht="15" hidden="false" customHeight="false" outlineLevel="0" collapsed="false">
      <c r="B36" s="2" t="n">
        <v>34</v>
      </c>
      <c r="C36" s="3" t="s">
        <v>123</v>
      </c>
      <c r="D36" s="2" t="s">
        <v>124</v>
      </c>
      <c r="E36" s="3" t="s">
        <v>125</v>
      </c>
      <c r="F36" s="3" t="s">
        <v>126</v>
      </c>
      <c r="G36" s="4" t="n">
        <v>316</v>
      </c>
      <c r="H36" s="3" t="s">
        <v>127</v>
      </c>
    </row>
    <row r="37" customFormat="false" ht="15" hidden="false" customHeight="false" outlineLevel="0" collapsed="false">
      <c r="B37" s="5" t="n">
        <v>35</v>
      </c>
      <c r="C37" s="6" t="s">
        <v>128</v>
      </c>
      <c r="D37" s="5" t="s">
        <v>129</v>
      </c>
      <c r="E37" s="6" t="s">
        <v>125</v>
      </c>
      <c r="F37" s="6" t="s">
        <v>130</v>
      </c>
      <c r="G37" s="7"/>
      <c r="H37" s="6"/>
    </row>
    <row r="38" customFormat="false" ht="15" hidden="false" customHeight="false" outlineLevel="0" collapsed="false">
      <c r="B38" s="2" t="n">
        <v>36</v>
      </c>
      <c r="C38" s="3" t="s">
        <v>131</v>
      </c>
      <c r="D38" s="2" t="s">
        <v>132</v>
      </c>
      <c r="E38" s="3" t="s">
        <v>125</v>
      </c>
      <c r="F38" s="3" t="s">
        <v>130</v>
      </c>
      <c r="G38" s="4" t="n">
        <v>381</v>
      </c>
      <c r="H38" s="3" t="s">
        <v>133</v>
      </c>
    </row>
    <row r="39" customFormat="false" ht="15" hidden="false" customHeight="false" outlineLevel="0" collapsed="false">
      <c r="B39" s="2" t="n">
        <v>37</v>
      </c>
      <c r="C39" s="3" t="s">
        <v>134</v>
      </c>
      <c r="D39" s="2" t="s">
        <v>135</v>
      </c>
      <c r="E39" s="3" t="s">
        <v>136</v>
      </c>
      <c r="F39" s="3" t="s">
        <v>137</v>
      </c>
      <c r="G39" s="4" t="n">
        <v>62</v>
      </c>
      <c r="H39" s="3" t="s">
        <v>138</v>
      </c>
    </row>
    <row r="40" customFormat="false" ht="15" hidden="false" customHeight="false" outlineLevel="0" collapsed="false">
      <c r="B40" s="2" t="n">
        <v>38</v>
      </c>
      <c r="C40" s="3" t="s">
        <v>139</v>
      </c>
      <c r="D40" s="2" t="s">
        <v>140</v>
      </c>
      <c r="E40" s="3" t="s">
        <v>136</v>
      </c>
      <c r="F40" s="3" t="s">
        <v>141</v>
      </c>
      <c r="G40" s="4" t="n">
        <v>72</v>
      </c>
      <c r="H40" s="3" t="s">
        <v>142</v>
      </c>
    </row>
    <row r="41" customFormat="false" ht="15" hidden="false" customHeight="false" outlineLevel="0" collapsed="false">
      <c r="B41" s="2" t="n">
        <v>39</v>
      </c>
      <c r="C41" s="3" t="s">
        <v>143</v>
      </c>
      <c r="D41" s="2" t="s">
        <v>144</v>
      </c>
      <c r="E41" s="3" t="s">
        <v>136</v>
      </c>
      <c r="F41" s="3" t="s">
        <v>145</v>
      </c>
      <c r="G41" s="4" t="n">
        <v>85</v>
      </c>
      <c r="H41" s="3" t="s">
        <v>146</v>
      </c>
    </row>
    <row r="42" customFormat="false" ht="15" hidden="false" customHeight="false" outlineLevel="0" collapsed="false">
      <c r="B42" s="2" t="n">
        <v>40</v>
      </c>
      <c r="C42" s="3" t="s">
        <v>147</v>
      </c>
      <c r="D42" s="2" t="s">
        <v>148</v>
      </c>
      <c r="E42" s="3" t="s">
        <v>136</v>
      </c>
      <c r="F42" s="3" t="s">
        <v>149</v>
      </c>
      <c r="G42" s="4" t="n">
        <v>86</v>
      </c>
      <c r="H42" s="3" t="s">
        <v>150</v>
      </c>
    </row>
    <row r="43" customFormat="false" ht="15" hidden="false" customHeight="false" outlineLevel="0" collapsed="false">
      <c r="B43" s="2" t="n">
        <v>41</v>
      </c>
      <c r="C43" s="3" t="s">
        <v>151</v>
      </c>
      <c r="D43" s="2" t="s">
        <v>152</v>
      </c>
      <c r="E43" s="3" t="s">
        <v>136</v>
      </c>
      <c r="F43" s="3" t="s">
        <v>153</v>
      </c>
      <c r="G43" s="4" t="n">
        <v>95</v>
      </c>
      <c r="H43" s="3" t="s">
        <v>154</v>
      </c>
    </row>
    <row r="44" customFormat="false" ht="15" hidden="false" customHeight="false" outlineLevel="0" collapsed="false">
      <c r="B44" s="2" t="n">
        <v>42</v>
      </c>
      <c r="C44" s="3" t="s">
        <v>155</v>
      </c>
      <c r="D44" s="2" t="s">
        <v>156</v>
      </c>
      <c r="E44" s="3" t="s">
        <v>136</v>
      </c>
      <c r="F44" s="3" t="s">
        <v>157</v>
      </c>
      <c r="G44" s="4" t="n">
        <v>106</v>
      </c>
      <c r="H44" s="3" t="s">
        <v>158</v>
      </c>
    </row>
    <row r="45" customFormat="false" ht="15" hidden="false" customHeight="false" outlineLevel="0" collapsed="false">
      <c r="B45" s="2" t="n">
        <v>43</v>
      </c>
      <c r="C45" s="3" t="s">
        <v>159</v>
      </c>
      <c r="D45" s="2" t="s">
        <v>160</v>
      </c>
      <c r="E45" s="3" t="s">
        <v>136</v>
      </c>
      <c r="F45" s="3" t="s">
        <v>161</v>
      </c>
      <c r="G45" s="4" t="n">
        <v>100</v>
      </c>
      <c r="H45" s="3" t="s">
        <v>162</v>
      </c>
    </row>
    <row r="46" customFormat="false" ht="15" hidden="false" customHeight="false" outlineLevel="0" collapsed="false">
      <c r="B46" s="2" t="n">
        <v>44</v>
      </c>
      <c r="C46" s="3" t="s">
        <v>163</v>
      </c>
      <c r="D46" s="2" t="s">
        <v>164</v>
      </c>
      <c r="E46" s="3" t="s">
        <v>136</v>
      </c>
      <c r="F46" s="3" t="s">
        <v>165</v>
      </c>
      <c r="G46" s="4" t="n">
        <v>122</v>
      </c>
      <c r="H46" s="3" t="s">
        <v>166</v>
      </c>
    </row>
    <row r="47" customFormat="false" ht="15" hidden="false" customHeight="false" outlineLevel="0" collapsed="false">
      <c r="B47" s="2" t="n">
        <v>45</v>
      </c>
      <c r="C47" s="3" t="s">
        <v>167</v>
      </c>
      <c r="D47" s="2" t="s">
        <v>168</v>
      </c>
      <c r="E47" s="3" t="s">
        <v>136</v>
      </c>
      <c r="F47" s="3" t="s">
        <v>169</v>
      </c>
      <c r="G47" s="4" t="n">
        <v>182</v>
      </c>
      <c r="H47" s="3" t="s">
        <v>170</v>
      </c>
    </row>
    <row r="48" customFormat="false" ht="15" hidden="false" customHeight="false" outlineLevel="0" collapsed="false">
      <c r="B48" s="2" t="n">
        <v>46</v>
      </c>
      <c r="C48" s="3" t="s">
        <v>171</v>
      </c>
      <c r="D48" s="2" t="s">
        <v>172</v>
      </c>
      <c r="E48" s="3" t="s">
        <v>136</v>
      </c>
      <c r="F48" s="3" t="s">
        <v>173</v>
      </c>
      <c r="G48" s="4" t="n">
        <v>210</v>
      </c>
      <c r="H48" s="3" t="s">
        <v>174</v>
      </c>
    </row>
    <row r="49" customFormat="false" ht="15" hidden="false" customHeight="false" outlineLevel="0" collapsed="false">
      <c r="B49" s="2" t="n">
        <v>47</v>
      </c>
      <c r="C49" s="3" t="s">
        <v>175</v>
      </c>
      <c r="D49" s="2" t="s">
        <v>176</v>
      </c>
      <c r="E49" s="3" t="s">
        <v>136</v>
      </c>
      <c r="F49" s="3" t="s">
        <v>97</v>
      </c>
      <c r="G49" s="4" t="n">
        <v>226</v>
      </c>
      <c r="H49" s="3" t="s">
        <v>177</v>
      </c>
    </row>
    <row r="50" customFormat="false" ht="15" hidden="false" customHeight="false" outlineLevel="0" collapsed="false">
      <c r="B50" s="2" t="n">
        <v>48</v>
      </c>
      <c r="C50" s="3" t="s">
        <v>178</v>
      </c>
      <c r="D50" s="2" t="s">
        <v>176</v>
      </c>
      <c r="E50" s="3" t="s">
        <v>136</v>
      </c>
      <c r="F50" s="3" t="s">
        <v>100</v>
      </c>
      <c r="G50" s="4" t="n">
        <v>226</v>
      </c>
      <c r="H50" s="3" t="s">
        <v>177</v>
      </c>
    </row>
    <row r="51" customFormat="false" ht="15" hidden="false" customHeight="false" outlineLevel="0" collapsed="false">
      <c r="B51" s="2" t="n">
        <v>49</v>
      </c>
      <c r="C51" s="3" t="s">
        <v>179</v>
      </c>
      <c r="D51" s="2" t="s">
        <v>180</v>
      </c>
      <c r="E51" s="3" t="s">
        <v>181</v>
      </c>
      <c r="F51" s="3" t="s">
        <v>165</v>
      </c>
      <c r="G51" s="4" t="n">
        <v>123</v>
      </c>
      <c r="H51" s="3" t="s">
        <v>182</v>
      </c>
    </row>
    <row r="52" customFormat="false" ht="15" hidden="false" customHeight="false" outlineLevel="0" collapsed="false">
      <c r="B52" s="2" t="n">
        <v>50</v>
      </c>
      <c r="C52" s="3" t="s">
        <v>183</v>
      </c>
      <c r="D52" s="2" t="s">
        <v>184</v>
      </c>
      <c r="E52" s="3" t="s">
        <v>181</v>
      </c>
      <c r="F52" s="3" t="s">
        <v>185</v>
      </c>
      <c r="G52" s="4" t="n">
        <v>134</v>
      </c>
      <c r="H52" s="3" t="s">
        <v>186</v>
      </c>
    </row>
    <row r="53" customFormat="false" ht="15" hidden="false" customHeight="false" outlineLevel="0" collapsed="false">
      <c r="B53" s="2" t="n">
        <v>51</v>
      </c>
      <c r="C53" s="3" t="s">
        <v>187</v>
      </c>
      <c r="D53" s="2" t="s">
        <v>188</v>
      </c>
      <c r="E53" s="3" t="s">
        <v>189</v>
      </c>
      <c r="F53" s="3" t="s">
        <v>190</v>
      </c>
      <c r="G53" s="4" t="n">
        <v>39</v>
      </c>
      <c r="H53" s="3" t="s">
        <v>191</v>
      </c>
    </row>
    <row r="54" customFormat="false" ht="15" hidden="false" customHeight="false" outlineLevel="0" collapsed="false">
      <c r="B54" s="2" t="n">
        <v>52</v>
      </c>
      <c r="C54" s="3" t="s">
        <v>192</v>
      </c>
      <c r="D54" s="2" t="s">
        <v>193</v>
      </c>
      <c r="E54" s="3" t="s">
        <v>189</v>
      </c>
      <c r="F54" s="3" t="s">
        <v>194</v>
      </c>
      <c r="G54" s="4" t="n">
        <v>102</v>
      </c>
      <c r="H54" s="3" t="s">
        <v>195</v>
      </c>
    </row>
    <row r="55" customFormat="false" ht="15" hidden="false" customHeight="false" outlineLevel="0" collapsed="false">
      <c r="B55" s="2" t="n">
        <v>53</v>
      </c>
      <c r="C55" s="3" t="s">
        <v>196</v>
      </c>
      <c r="D55" s="2" t="s">
        <v>197</v>
      </c>
      <c r="E55" s="3" t="s">
        <v>189</v>
      </c>
      <c r="F55" s="3" t="s">
        <v>198</v>
      </c>
      <c r="G55" s="4" t="n">
        <v>42.3</v>
      </c>
      <c r="H55" s="3" t="s">
        <v>199</v>
      </c>
    </row>
    <row r="56" customFormat="false" ht="15" hidden="false" customHeight="false" outlineLevel="0" collapsed="false">
      <c r="B56" s="2" t="n">
        <v>54</v>
      </c>
      <c r="C56" s="3" t="s">
        <v>200</v>
      </c>
      <c r="D56" s="2" t="s">
        <v>201</v>
      </c>
      <c r="E56" s="3" t="s">
        <v>189</v>
      </c>
      <c r="F56" s="3" t="s">
        <v>202</v>
      </c>
      <c r="G56" s="4" t="n">
        <v>51.6</v>
      </c>
      <c r="H56" s="3" t="s">
        <v>203</v>
      </c>
    </row>
    <row r="57" customFormat="false" ht="15" hidden="false" customHeight="false" outlineLevel="0" collapsed="false">
      <c r="B57" s="2" t="n">
        <v>55</v>
      </c>
      <c r="C57" s="3" t="s">
        <v>204</v>
      </c>
      <c r="D57" s="2" t="s">
        <v>205</v>
      </c>
      <c r="E57" s="3" t="s">
        <v>189</v>
      </c>
      <c r="F57" s="3" t="s">
        <v>206</v>
      </c>
      <c r="G57" s="4" t="n">
        <v>66</v>
      </c>
      <c r="H57" s="3" t="s">
        <v>207</v>
      </c>
    </row>
    <row r="58" customFormat="false" ht="15" hidden="false" customHeight="false" outlineLevel="0" collapsed="false">
      <c r="B58" s="2" t="n">
        <v>56</v>
      </c>
      <c r="C58" s="3" t="s">
        <v>208</v>
      </c>
      <c r="D58" s="2" t="s">
        <v>209</v>
      </c>
      <c r="E58" s="3" t="s">
        <v>189</v>
      </c>
      <c r="F58" s="3" t="s">
        <v>210</v>
      </c>
      <c r="G58" s="4" t="n">
        <v>83.7</v>
      </c>
      <c r="H58" s="3" t="s">
        <v>211</v>
      </c>
    </row>
    <row r="59" customFormat="false" ht="15" hidden="false" customHeight="false" outlineLevel="0" collapsed="false">
      <c r="B59" s="2" t="n">
        <v>57</v>
      </c>
      <c r="C59" s="3" t="s">
        <v>212</v>
      </c>
      <c r="D59" s="2" t="s">
        <v>213</v>
      </c>
      <c r="E59" s="3" t="s">
        <v>189</v>
      </c>
      <c r="F59" s="3" t="s">
        <v>194</v>
      </c>
      <c r="G59" s="4" t="n">
        <v>102</v>
      </c>
      <c r="H59" s="3" t="s">
        <v>195</v>
      </c>
    </row>
    <row r="60" customFormat="false" ht="15" hidden="false" customHeight="false" outlineLevel="0" collapsed="false">
      <c r="B60" s="2" t="n">
        <v>58</v>
      </c>
      <c r="C60" s="3" t="s">
        <v>214</v>
      </c>
      <c r="D60" s="2" t="s">
        <v>215</v>
      </c>
      <c r="E60" s="3" t="s">
        <v>189</v>
      </c>
      <c r="F60" s="3" t="s">
        <v>216</v>
      </c>
      <c r="G60" s="4" t="n">
        <v>108.5</v>
      </c>
      <c r="H60" s="3" t="s">
        <v>217</v>
      </c>
    </row>
    <row r="61" customFormat="false" ht="15" hidden="false" customHeight="false" outlineLevel="0" collapsed="false">
      <c r="B61" s="2" t="n">
        <v>59</v>
      </c>
      <c r="C61" s="3" t="s">
        <v>218</v>
      </c>
      <c r="D61" s="2" t="s">
        <v>219</v>
      </c>
      <c r="E61" s="3" t="s">
        <v>189</v>
      </c>
      <c r="F61" s="3" t="s">
        <v>220</v>
      </c>
      <c r="G61" s="4" t="n">
        <v>113.7</v>
      </c>
      <c r="H61" s="3" t="s">
        <v>221</v>
      </c>
    </row>
    <row r="62" customFormat="false" ht="15" hidden="false" customHeight="false" outlineLevel="0" collapsed="false">
      <c r="B62" s="2" t="n">
        <v>60</v>
      </c>
      <c r="C62" s="3" t="s">
        <v>222</v>
      </c>
      <c r="D62" s="2" t="s">
        <v>223</v>
      </c>
      <c r="E62" s="3" t="s">
        <v>224</v>
      </c>
      <c r="F62" s="3" t="s">
        <v>225</v>
      </c>
      <c r="G62" s="4" t="n">
        <v>62.2</v>
      </c>
      <c r="H62" s="3" t="s">
        <v>226</v>
      </c>
    </row>
    <row r="63" customFormat="false" ht="15" hidden="false" customHeight="false" outlineLevel="0" collapsed="false">
      <c r="B63" s="2" t="n">
        <v>61</v>
      </c>
      <c r="C63" s="3" t="s">
        <v>227</v>
      </c>
      <c r="D63" s="2" t="s">
        <v>228</v>
      </c>
      <c r="E63" s="3" t="s">
        <v>229</v>
      </c>
      <c r="F63" s="3" t="s">
        <v>230</v>
      </c>
      <c r="G63" s="4" t="n">
        <v>72.4</v>
      </c>
      <c r="H63" s="3" t="s">
        <v>231</v>
      </c>
    </row>
    <row r="64" customFormat="false" ht="15" hidden="false" customHeight="false" outlineLevel="0" collapsed="false">
      <c r="B64" s="2" t="n">
        <v>62</v>
      </c>
      <c r="C64" s="3" t="s">
        <v>232</v>
      </c>
      <c r="D64" s="2" t="s">
        <v>233</v>
      </c>
      <c r="E64" s="3" t="s">
        <v>234</v>
      </c>
      <c r="F64" s="3" t="s">
        <v>235</v>
      </c>
      <c r="G64" s="4" t="n">
        <v>73.5</v>
      </c>
      <c r="H64" s="3" t="s">
        <v>236</v>
      </c>
    </row>
    <row r="65" customFormat="false" ht="15" hidden="false" customHeight="false" outlineLevel="0" collapsed="false">
      <c r="B65" s="2" t="n">
        <v>63</v>
      </c>
      <c r="C65" s="3" t="s">
        <v>237</v>
      </c>
      <c r="D65" s="2" t="s">
        <v>233</v>
      </c>
      <c r="E65" s="3" t="s">
        <v>234</v>
      </c>
      <c r="F65" s="3" t="s">
        <v>238</v>
      </c>
      <c r="G65" s="4" t="n">
        <v>73.5</v>
      </c>
      <c r="H65" s="3" t="s">
        <v>236</v>
      </c>
    </row>
    <row r="66" customFormat="false" ht="15" hidden="false" customHeight="false" outlineLevel="0" collapsed="false">
      <c r="B66" s="5" t="n">
        <v>64</v>
      </c>
      <c r="C66" s="6" t="s">
        <v>239</v>
      </c>
      <c r="D66" s="5" t="s">
        <v>240</v>
      </c>
      <c r="E66" s="6" t="s">
        <v>234</v>
      </c>
      <c r="F66" s="6" t="s">
        <v>241</v>
      </c>
      <c r="G66" s="7"/>
      <c r="H66" s="6"/>
    </row>
    <row r="67" customFormat="false" ht="15" hidden="false" customHeight="false" outlineLevel="0" collapsed="false">
      <c r="B67" s="2" t="n">
        <v>65</v>
      </c>
      <c r="C67" s="3" t="s">
        <v>242</v>
      </c>
      <c r="D67" s="2" t="s">
        <v>228</v>
      </c>
      <c r="E67" s="3" t="s">
        <v>234</v>
      </c>
      <c r="F67" s="3" t="s">
        <v>243</v>
      </c>
      <c r="G67" s="4" t="n">
        <v>72.4</v>
      </c>
      <c r="H67" s="3" t="s">
        <v>244</v>
      </c>
    </row>
    <row r="68" customFormat="false" ht="15" hidden="false" customHeight="false" outlineLevel="0" collapsed="false">
      <c r="B68" s="2" t="n">
        <v>66</v>
      </c>
      <c r="C68" s="3" t="s">
        <v>245</v>
      </c>
      <c r="D68" s="2" t="s">
        <v>246</v>
      </c>
      <c r="E68" s="3" t="s">
        <v>247</v>
      </c>
      <c r="F68" s="3" t="s">
        <v>248</v>
      </c>
      <c r="G68" s="4" t="n">
        <v>49.56</v>
      </c>
      <c r="H68" s="3" t="s">
        <v>249</v>
      </c>
    </row>
    <row r="69" customFormat="false" ht="15" hidden="false" customHeight="false" outlineLevel="0" collapsed="false">
      <c r="B69" s="2" t="n">
        <v>67</v>
      </c>
      <c r="C69" s="3" t="s">
        <v>250</v>
      </c>
      <c r="D69" s="2" t="s">
        <v>246</v>
      </c>
      <c r="E69" s="3" t="s">
        <v>247</v>
      </c>
      <c r="F69" s="3" t="s">
        <v>251</v>
      </c>
      <c r="G69" s="4" t="n">
        <v>49.56</v>
      </c>
      <c r="H69" s="3" t="s">
        <v>249</v>
      </c>
    </row>
    <row r="70" customFormat="false" ht="15" hidden="false" customHeight="false" outlineLevel="0" collapsed="false">
      <c r="B70" s="2" t="n">
        <v>68</v>
      </c>
      <c r="C70" s="3" t="s">
        <v>252</v>
      </c>
      <c r="D70" s="2" t="s">
        <v>223</v>
      </c>
      <c r="E70" s="3" t="s">
        <v>247</v>
      </c>
      <c r="F70" s="3" t="s">
        <v>253</v>
      </c>
      <c r="G70" s="4" t="n">
        <v>54.41</v>
      </c>
      <c r="H70" s="3" t="s">
        <v>254</v>
      </c>
    </row>
    <row r="71" customFormat="false" ht="15" hidden="false" customHeight="false" outlineLevel="0" collapsed="false">
      <c r="B71" s="2" t="n">
        <v>69</v>
      </c>
      <c r="C71" s="3" t="s">
        <v>255</v>
      </c>
      <c r="D71" s="2" t="s">
        <v>256</v>
      </c>
      <c r="E71" s="3" t="s">
        <v>247</v>
      </c>
      <c r="F71" s="3" t="s">
        <v>257</v>
      </c>
      <c r="G71" s="4" t="n">
        <v>56.52</v>
      </c>
      <c r="H71" s="3" t="s">
        <v>258</v>
      </c>
    </row>
    <row r="72" customFormat="false" ht="15" hidden="false" customHeight="false" outlineLevel="0" collapsed="false">
      <c r="B72" s="2" t="n">
        <v>70</v>
      </c>
      <c r="C72" s="3" t="s">
        <v>259</v>
      </c>
      <c r="D72" s="2" t="s">
        <v>228</v>
      </c>
      <c r="E72" s="3" t="s">
        <v>247</v>
      </c>
      <c r="F72" s="3" t="s">
        <v>260</v>
      </c>
      <c r="G72" s="4" t="n">
        <v>72.4</v>
      </c>
      <c r="H72" s="3" t="s">
        <v>244</v>
      </c>
    </row>
    <row r="73" customFormat="false" ht="15" hidden="false" customHeight="false" outlineLevel="0" collapsed="false">
      <c r="B73" s="5" t="n">
        <v>71</v>
      </c>
      <c r="C73" s="6" t="s">
        <v>261</v>
      </c>
      <c r="D73" s="5" t="s">
        <v>262</v>
      </c>
      <c r="E73" s="6" t="s">
        <v>247</v>
      </c>
      <c r="F73" s="6" t="s">
        <v>263</v>
      </c>
      <c r="G73" s="7"/>
      <c r="H73" s="6"/>
    </row>
    <row r="74" customFormat="false" ht="15" hidden="false" customHeight="false" outlineLevel="0" collapsed="false">
      <c r="B74" s="2" t="n">
        <v>72</v>
      </c>
      <c r="C74" s="3" t="s">
        <v>264</v>
      </c>
      <c r="D74" s="2" t="s">
        <v>265</v>
      </c>
      <c r="E74" s="3" t="s">
        <v>247</v>
      </c>
      <c r="F74" s="3" t="s">
        <v>266</v>
      </c>
      <c r="G74" s="4" t="n">
        <v>67.63</v>
      </c>
      <c r="H74" s="3" t="s">
        <v>267</v>
      </c>
    </row>
    <row r="75" customFormat="false" ht="15" hidden="false" customHeight="false" outlineLevel="0" collapsed="false">
      <c r="B75" s="2" t="n">
        <v>73</v>
      </c>
      <c r="C75" s="3" t="s">
        <v>268</v>
      </c>
      <c r="D75" s="2" t="s">
        <v>269</v>
      </c>
      <c r="E75" s="3" t="s">
        <v>270</v>
      </c>
      <c r="F75" s="3" t="s">
        <v>271</v>
      </c>
      <c r="G75" s="4" t="n">
        <v>31.84</v>
      </c>
      <c r="H75" s="3" t="s">
        <v>272</v>
      </c>
    </row>
    <row r="76" customFormat="false" ht="15" hidden="false" customHeight="false" outlineLevel="0" collapsed="false">
      <c r="B76" s="2" t="n">
        <v>74</v>
      </c>
      <c r="C76" s="3" t="s">
        <v>273</v>
      </c>
      <c r="D76" s="2" t="s">
        <v>274</v>
      </c>
      <c r="E76" s="3" t="s">
        <v>270</v>
      </c>
      <c r="F76" s="3" t="s">
        <v>275</v>
      </c>
      <c r="G76" s="4" t="n">
        <v>75</v>
      </c>
      <c r="H76" s="3" t="s">
        <v>276</v>
      </c>
    </row>
    <row r="77" customFormat="false" ht="15" hidden="false" customHeight="false" outlineLevel="0" collapsed="false">
      <c r="B77" s="2" t="n">
        <v>75</v>
      </c>
      <c r="C77" s="3" t="s">
        <v>277</v>
      </c>
      <c r="D77" s="2" t="s">
        <v>256</v>
      </c>
      <c r="E77" s="3" t="s">
        <v>278</v>
      </c>
      <c r="F77" s="3" t="s">
        <v>279</v>
      </c>
      <c r="G77" s="4" t="n">
        <v>56.52</v>
      </c>
      <c r="H77" s="3" t="s">
        <v>258</v>
      </c>
    </row>
    <row r="78" customFormat="false" ht="15" hidden="false" customHeight="false" outlineLevel="0" collapsed="false">
      <c r="B78" s="2" t="n">
        <v>76</v>
      </c>
      <c r="C78" s="3" t="s">
        <v>280</v>
      </c>
      <c r="D78" s="2" t="s">
        <v>228</v>
      </c>
      <c r="E78" s="3" t="s">
        <v>278</v>
      </c>
      <c r="F78" s="3" t="s">
        <v>281</v>
      </c>
      <c r="G78" s="4" t="n">
        <v>72.4</v>
      </c>
      <c r="H78" s="3" t="s">
        <v>244</v>
      </c>
    </row>
    <row r="79" customFormat="false" ht="15" hidden="false" customHeight="false" outlineLevel="0" collapsed="false">
      <c r="B79" s="2" t="n">
        <v>77</v>
      </c>
      <c r="C79" s="3" t="s">
        <v>282</v>
      </c>
      <c r="D79" s="2" t="s">
        <v>228</v>
      </c>
      <c r="E79" s="3" t="s">
        <v>278</v>
      </c>
      <c r="F79" s="3" t="s">
        <v>283</v>
      </c>
      <c r="G79" s="4" t="n">
        <v>72.4</v>
      </c>
      <c r="H79" s="3" t="s">
        <v>244</v>
      </c>
    </row>
    <row r="80" customFormat="false" ht="15" hidden="false" customHeight="false" outlineLevel="0" collapsed="false">
      <c r="B80" s="2" t="n">
        <v>78</v>
      </c>
      <c r="C80" s="3" t="s">
        <v>284</v>
      </c>
      <c r="D80" s="2" t="s">
        <v>228</v>
      </c>
      <c r="E80" s="3" t="s">
        <v>278</v>
      </c>
      <c r="F80" s="3" t="s">
        <v>285</v>
      </c>
      <c r="G80" s="4" t="n">
        <v>72.4</v>
      </c>
      <c r="H80" s="3" t="s">
        <v>244</v>
      </c>
    </row>
    <row r="81" customFormat="false" ht="15" hidden="false" customHeight="false" outlineLevel="0" collapsed="false">
      <c r="B81" s="2" t="n">
        <v>79</v>
      </c>
      <c r="C81" s="3" t="s">
        <v>286</v>
      </c>
      <c r="D81" s="2" t="s">
        <v>265</v>
      </c>
      <c r="E81" s="3" t="s">
        <v>278</v>
      </c>
      <c r="F81" s="3" t="s">
        <v>266</v>
      </c>
      <c r="G81" s="4" t="n">
        <v>67.63</v>
      </c>
      <c r="H81" s="3" t="s">
        <v>267</v>
      </c>
    </row>
    <row r="82" customFormat="false" ht="15" hidden="false" customHeight="false" outlineLevel="0" collapsed="false">
      <c r="B82" s="2" t="n">
        <v>80</v>
      </c>
      <c r="C82" s="3" t="s">
        <v>287</v>
      </c>
      <c r="D82" s="2" t="s">
        <v>288</v>
      </c>
      <c r="E82" s="3" t="s">
        <v>289</v>
      </c>
      <c r="F82" s="3" t="s">
        <v>290</v>
      </c>
      <c r="G82" s="4" t="n">
        <v>26.68</v>
      </c>
      <c r="H82" s="3" t="s">
        <v>291</v>
      </c>
    </row>
    <row r="83" customFormat="false" ht="15" hidden="false" customHeight="false" outlineLevel="0" collapsed="false">
      <c r="B83" s="5" t="n">
        <v>81</v>
      </c>
      <c r="C83" s="6" t="s">
        <v>292</v>
      </c>
      <c r="D83" s="5" t="s">
        <v>293</v>
      </c>
      <c r="E83" s="6" t="s">
        <v>289</v>
      </c>
      <c r="F83" s="6" t="s">
        <v>294</v>
      </c>
      <c r="G83" s="7"/>
      <c r="H83" s="6"/>
    </row>
    <row r="84" customFormat="false" ht="15" hidden="false" customHeight="false" outlineLevel="0" collapsed="false">
      <c r="B84" s="2" t="n">
        <v>82</v>
      </c>
      <c r="C84" s="3" t="s">
        <v>295</v>
      </c>
      <c r="D84" s="2" t="s">
        <v>246</v>
      </c>
      <c r="E84" s="3" t="s">
        <v>289</v>
      </c>
      <c r="F84" s="3" t="s">
        <v>296</v>
      </c>
      <c r="G84" s="4" t="n">
        <v>53.53</v>
      </c>
      <c r="H84" s="3" t="s">
        <v>297</v>
      </c>
    </row>
    <row r="85" customFormat="false" ht="15" hidden="false" customHeight="false" outlineLevel="0" collapsed="false">
      <c r="B85" s="2" t="n">
        <v>83</v>
      </c>
      <c r="C85" s="3" t="s">
        <v>298</v>
      </c>
      <c r="D85" s="2" t="s">
        <v>223</v>
      </c>
      <c r="E85" s="3" t="s">
        <v>289</v>
      </c>
      <c r="F85" s="3" t="s">
        <v>299</v>
      </c>
      <c r="G85" s="4" t="n">
        <v>54.41</v>
      </c>
      <c r="H85" s="3" t="s">
        <v>254</v>
      </c>
    </row>
    <row r="86" customFormat="false" ht="15" hidden="false" customHeight="false" outlineLevel="0" collapsed="false">
      <c r="B86" s="2" t="n">
        <v>84</v>
      </c>
      <c r="C86" s="3" t="s">
        <v>300</v>
      </c>
      <c r="D86" s="2" t="s">
        <v>256</v>
      </c>
      <c r="E86" s="3" t="s">
        <v>289</v>
      </c>
      <c r="F86" s="3" t="s">
        <v>301</v>
      </c>
      <c r="G86" s="4" t="n">
        <v>63.97</v>
      </c>
      <c r="H86" s="3" t="s">
        <v>302</v>
      </c>
    </row>
    <row r="87" customFormat="false" ht="15" hidden="false" customHeight="false" outlineLevel="0" collapsed="false">
      <c r="B87" s="2" t="n">
        <v>85</v>
      </c>
      <c r="C87" s="3" t="s">
        <v>303</v>
      </c>
      <c r="D87" s="2" t="s">
        <v>304</v>
      </c>
      <c r="E87" s="3" t="s">
        <v>305</v>
      </c>
      <c r="F87" s="3" t="s">
        <v>306</v>
      </c>
      <c r="G87" s="4" t="n">
        <v>38.11</v>
      </c>
      <c r="H87" s="3" t="s">
        <v>307</v>
      </c>
    </row>
    <row r="88" customFormat="false" ht="15" hidden="false" customHeight="false" outlineLevel="0" collapsed="false">
      <c r="B88" s="2" t="n">
        <v>86</v>
      </c>
      <c r="C88" s="3" t="s">
        <v>308</v>
      </c>
      <c r="D88" s="2" t="s">
        <v>269</v>
      </c>
      <c r="E88" s="3" t="s">
        <v>309</v>
      </c>
      <c r="F88" s="3" t="s">
        <v>310</v>
      </c>
      <c r="G88" s="4" t="n">
        <v>34.4</v>
      </c>
      <c r="H88" s="3" t="s">
        <v>311</v>
      </c>
    </row>
    <row r="89" customFormat="false" ht="15" hidden="false" customHeight="false" outlineLevel="0" collapsed="false">
      <c r="B89" s="2" t="n">
        <v>87</v>
      </c>
      <c r="C89" s="3" t="s">
        <v>312</v>
      </c>
      <c r="D89" s="2" t="s">
        <v>313</v>
      </c>
      <c r="E89" s="3" t="s">
        <v>314</v>
      </c>
      <c r="F89" s="3" t="s">
        <v>315</v>
      </c>
      <c r="G89" s="4" t="n">
        <v>33.58</v>
      </c>
      <c r="H89" s="3" t="s">
        <v>316</v>
      </c>
    </row>
    <row r="90" customFormat="false" ht="15" hidden="false" customHeight="false" outlineLevel="0" collapsed="false">
      <c r="B90" s="2" t="n">
        <v>88</v>
      </c>
      <c r="C90" s="3" t="s">
        <v>317</v>
      </c>
      <c r="D90" s="2" t="s">
        <v>256</v>
      </c>
      <c r="E90" s="3" t="s">
        <v>314</v>
      </c>
      <c r="F90" s="3" t="s">
        <v>318</v>
      </c>
      <c r="G90" s="4" t="n">
        <v>60.84</v>
      </c>
      <c r="H90" s="3" t="s">
        <v>319</v>
      </c>
    </row>
    <row r="91" customFormat="false" ht="15" hidden="false" customHeight="false" outlineLevel="0" collapsed="false">
      <c r="B91" s="2" t="n">
        <v>89</v>
      </c>
      <c r="C91" s="3" t="s">
        <v>320</v>
      </c>
      <c r="D91" s="2" t="s">
        <v>228</v>
      </c>
      <c r="E91" s="3" t="s">
        <v>314</v>
      </c>
      <c r="F91" s="3" t="s">
        <v>318</v>
      </c>
      <c r="G91" s="4" t="n">
        <v>69.2</v>
      </c>
      <c r="H91" s="3" t="s">
        <v>321</v>
      </c>
    </row>
    <row r="92" customFormat="false" ht="15" hidden="false" customHeight="false" outlineLevel="0" collapsed="false">
      <c r="B92" s="2" t="n">
        <v>90</v>
      </c>
      <c r="C92" s="3" t="s">
        <v>322</v>
      </c>
      <c r="D92" s="2" t="s">
        <v>274</v>
      </c>
      <c r="E92" s="3" t="s">
        <v>314</v>
      </c>
      <c r="F92" s="3" t="s">
        <v>323</v>
      </c>
      <c r="G92" s="4" t="n">
        <v>75</v>
      </c>
      <c r="H92" s="3" t="s">
        <v>324</v>
      </c>
    </row>
    <row r="93" customFormat="false" ht="15" hidden="false" customHeight="false" outlineLevel="0" collapsed="false">
      <c r="B93" s="2" t="n">
        <v>91</v>
      </c>
      <c r="C93" s="3" t="s">
        <v>325</v>
      </c>
      <c r="D93" s="2" t="s">
        <v>233</v>
      </c>
      <c r="E93" s="3" t="s">
        <v>326</v>
      </c>
      <c r="F93" s="3" t="s">
        <v>327</v>
      </c>
      <c r="G93" s="4" t="n">
        <v>73.5</v>
      </c>
      <c r="H93" s="3" t="s">
        <v>328</v>
      </c>
    </row>
    <row r="94" customFormat="false" ht="15" hidden="false" customHeight="false" outlineLevel="0" collapsed="false">
      <c r="B94" s="2" t="n">
        <v>92</v>
      </c>
      <c r="C94" s="3" t="s">
        <v>329</v>
      </c>
      <c r="D94" s="2" t="s">
        <v>330</v>
      </c>
      <c r="E94" s="3" t="s">
        <v>331</v>
      </c>
      <c r="F94" s="3" t="s">
        <v>332</v>
      </c>
      <c r="G94" s="4" t="n">
        <v>105.9</v>
      </c>
      <c r="H94" s="3" t="s">
        <v>333</v>
      </c>
    </row>
    <row r="95" customFormat="false" ht="15" hidden="false" customHeight="false" outlineLevel="0" collapsed="false">
      <c r="B95" s="2" t="n">
        <v>93</v>
      </c>
      <c r="C95" s="3" t="s">
        <v>334</v>
      </c>
      <c r="D95" s="2" t="s">
        <v>335</v>
      </c>
      <c r="E95" s="3" t="s">
        <v>336</v>
      </c>
      <c r="F95" s="3" t="s">
        <v>337</v>
      </c>
      <c r="G95" s="4" t="n">
        <v>111</v>
      </c>
      <c r="H95" s="3" t="s">
        <v>338</v>
      </c>
    </row>
    <row r="96" customFormat="false" ht="15" hidden="false" customHeight="false" outlineLevel="0" collapsed="false">
      <c r="B96" s="2" t="n">
        <v>94</v>
      </c>
      <c r="C96" s="3" t="s">
        <v>339</v>
      </c>
      <c r="D96" s="2" t="s">
        <v>65</v>
      </c>
      <c r="E96" s="3" t="s">
        <v>336</v>
      </c>
      <c r="F96" s="3" t="s">
        <v>67</v>
      </c>
      <c r="G96" s="4" t="n">
        <v>58</v>
      </c>
      <c r="H96" s="3" t="s">
        <v>340</v>
      </c>
    </row>
    <row r="97" customFormat="false" ht="15" hidden="false" customHeight="false" outlineLevel="0" collapsed="false">
      <c r="B97" s="2" t="n">
        <v>95</v>
      </c>
      <c r="C97" s="3" t="s">
        <v>341</v>
      </c>
      <c r="D97" s="2" t="s">
        <v>342</v>
      </c>
      <c r="E97" s="3" t="s">
        <v>336</v>
      </c>
      <c r="F97" s="3" t="s">
        <v>343</v>
      </c>
      <c r="G97" s="4" t="n">
        <v>62</v>
      </c>
      <c r="H97" s="3" t="s">
        <v>344</v>
      </c>
    </row>
    <row r="98" customFormat="false" ht="15" hidden="false" customHeight="false" outlineLevel="0" collapsed="false">
      <c r="B98" s="2" t="n">
        <v>96</v>
      </c>
      <c r="C98" s="3" t="s">
        <v>341</v>
      </c>
      <c r="D98" s="2" t="s">
        <v>342</v>
      </c>
      <c r="E98" s="3" t="s">
        <v>336</v>
      </c>
      <c r="F98" s="3" t="s">
        <v>343</v>
      </c>
      <c r="G98" s="4" t="n">
        <v>62</v>
      </c>
      <c r="H98" s="3" t="s">
        <v>344</v>
      </c>
    </row>
    <row r="99" customFormat="false" ht="15" hidden="false" customHeight="false" outlineLevel="0" collapsed="false">
      <c r="B99" s="2" t="n">
        <v>97</v>
      </c>
      <c r="C99" s="3" t="s">
        <v>345</v>
      </c>
      <c r="D99" s="2" t="s">
        <v>346</v>
      </c>
      <c r="E99" s="3" t="s">
        <v>336</v>
      </c>
      <c r="F99" s="3" t="s">
        <v>347</v>
      </c>
      <c r="G99" s="4" t="n">
        <v>68.9</v>
      </c>
      <c r="H99" s="3" t="s">
        <v>348</v>
      </c>
    </row>
    <row r="100" customFormat="false" ht="15" hidden="false" customHeight="false" outlineLevel="0" collapsed="false">
      <c r="B100" s="2" t="n">
        <v>98</v>
      </c>
      <c r="C100" s="3" t="s">
        <v>349</v>
      </c>
      <c r="D100" s="2" t="s">
        <v>74</v>
      </c>
      <c r="E100" s="3" t="s">
        <v>336</v>
      </c>
      <c r="F100" s="3" t="s">
        <v>75</v>
      </c>
      <c r="G100" s="4" t="n">
        <v>69.7</v>
      </c>
      <c r="H100" s="3" t="s">
        <v>350</v>
      </c>
    </row>
    <row r="101" customFormat="false" ht="15" hidden="false" customHeight="false" outlineLevel="0" collapsed="false">
      <c r="B101" s="2" t="n">
        <v>99</v>
      </c>
      <c r="C101" s="3" t="s">
        <v>349</v>
      </c>
      <c r="D101" s="2" t="s">
        <v>74</v>
      </c>
      <c r="E101" s="3" t="s">
        <v>336</v>
      </c>
      <c r="F101" s="3" t="s">
        <v>75</v>
      </c>
      <c r="G101" s="4" t="n">
        <v>69.7</v>
      </c>
      <c r="H101" s="3" t="s">
        <v>350</v>
      </c>
    </row>
    <row r="102" customFormat="false" ht="15" hidden="false" customHeight="false" outlineLevel="0" collapsed="false">
      <c r="B102" s="2" t="n">
        <v>100</v>
      </c>
      <c r="C102" s="3" t="s">
        <v>351</v>
      </c>
      <c r="D102" s="2" t="s">
        <v>352</v>
      </c>
      <c r="E102" s="3" t="s">
        <v>336</v>
      </c>
      <c r="F102" s="3" t="s">
        <v>42</v>
      </c>
      <c r="G102" s="4" t="n">
        <v>79</v>
      </c>
      <c r="H102" s="3" t="s">
        <v>353</v>
      </c>
    </row>
    <row r="103" customFormat="false" ht="15" hidden="false" customHeight="false" outlineLevel="0" collapsed="false">
      <c r="B103" s="2" t="n">
        <v>101</v>
      </c>
      <c r="C103" s="3" t="s">
        <v>351</v>
      </c>
      <c r="D103" s="2" t="s">
        <v>352</v>
      </c>
      <c r="E103" s="3" t="s">
        <v>336</v>
      </c>
      <c r="F103" s="3" t="s">
        <v>42</v>
      </c>
      <c r="G103" s="4" t="n">
        <v>79</v>
      </c>
      <c r="H103" s="3" t="s">
        <v>353</v>
      </c>
    </row>
    <row r="104" customFormat="false" ht="15" hidden="false" customHeight="false" outlineLevel="0" collapsed="false">
      <c r="B104" s="2" t="n">
        <v>102</v>
      </c>
      <c r="C104" s="3" t="s">
        <v>354</v>
      </c>
      <c r="D104" s="2" t="s">
        <v>355</v>
      </c>
      <c r="E104" s="3" t="s">
        <v>336</v>
      </c>
      <c r="F104" s="3" t="s">
        <v>356</v>
      </c>
      <c r="G104" s="4" t="n">
        <v>102</v>
      </c>
      <c r="H104" s="3" t="s">
        <v>357</v>
      </c>
    </row>
    <row r="105" customFormat="false" ht="15" hidden="false" customHeight="false" outlineLevel="0" collapsed="false">
      <c r="B105" s="2" t="n">
        <v>103</v>
      </c>
      <c r="C105" s="3" t="s">
        <v>358</v>
      </c>
      <c r="D105" s="2" t="s">
        <v>78</v>
      </c>
      <c r="E105" s="3" t="s">
        <v>336</v>
      </c>
      <c r="F105" s="3" t="s">
        <v>79</v>
      </c>
      <c r="G105" s="4" t="n">
        <v>101.3</v>
      </c>
      <c r="H105" s="3" t="s">
        <v>359</v>
      </c>
    </row>
    <row r="106" customFormat="false" ht="15" hidden="false" customHeight="false" outlineLevel="0" collapsed="false">
      <c r="B106" s="2" t="n">
        <v>104</v>
      </c>
      <c r="C106" s="3" t="s">
        <v>360</v>
      </c>
      <c r="D106" s="2" t="s">
        <v>82</v>
      </c>
      <c r="E106" s="3" t="s">
        <v>336</v>
      </c>
      <c r="F106" s="3" t="s">
        <v>83</v>
      </c>
      <c r="G106" s="4" t="n">
        <v>118</v>
      </c>
      <c r="H106" s="3" t="s">
        <v>361</v>
      </c>
    </row>
    <row r="107" customFormat="false" ht="15" hidden="false" customHeight="false" outlineLevel="0" collapsed="false">
      <c r="B107" s="2" t="n">
        <v>105</v>
      </c>
      <c r="C107" s="3" t="s">
        <v>362</v>
      </c>
      <c r="D107" s="2" t="s">
        <v>274</v>
      </c>
      <c r="E107" s="3" t="s">
        <v>363</v>
      </c>
      <c r="F107" s="3" t="s">
        <v>364</v>
      </c>
      <c r="G107" s="4" t="n">
        <v>75.26</v>
      </c>
      <c r="H107" s="3" t="s">
        <v>365</v>
      </c>
    </row>
    <row r="108" customFormat="false" ht="15" hidden="false" customHeight="false" outlineLevel="0" collapsed="false">
      <c r="B108" s="2" t="n">
        <v>106</v>
      </c>
      <c r="C108" s="3" t="s">
        <v>366</v>
      </c>
      <c r="D108" s="2" t="s">
        <v>367</v>
      </c>
      <c r="E108" s="3" t="s">
        <v>368</v>
      </c>
      <c r="F108" s="3" t="s">
        <v>369</v>
      </c>
      <c r="G108" s="4" t="n">
        <v>39.9</v>
      </c>
      <c r="H108" s="3" t="s">
        <v>370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4"/>
  </cols>
  <sheetData>
    <row r="2" customFormat="false" ht="15" hidden="false" customHeight="false" outlineLevel="0" collapsed="false">
      <c r="B2" s="8" t="s">
        <v>3</v>
      </c>
      <c r="C2" s="8" t="s">
        <v>371</v>
      </c>
      <c r="D2" s="8" t="s">
        <v>372</v>
      </c>
      <c r="E2" s="8" t="s">
        <v>373</v>
      </c>
    </row>
    <row r="3" customFormat="false" ht="15" hidden="false" customHeight="false" outlineLevel="0" collapsed="false">
      <c r="B3" s="9" t="s">
        <v>18</v>
      </c>
      <c r="C3" s="10" t="n">
        <v>13</v>
      </c>
      <c r="D3" s="10" t="n">
        <v>13</v>
      </c>
      <c r="E3" s="11" t="n">
        <f aca="false">C3/D3</f>
        <v>1</v>
      </c>
    </row>
    <row r="4" customFormat="false" ht="15" hidden="false" customHeight="false" outlineLevel="0" collapsed="false">
      <c r="B4" s="9" t="s">
        <v>136</v>
      </c>
      <c r="C4" s="10" t="n">
        <v>12</v>
      </c>
      <c r="D4" s="10" t="n">
        <v>12</v>
      </c>
      <c r="E4" s="11" t="n">
        <f aca="false">C4/D4</f>
        <v>1</v>
      </c>
    </row>
    <row r="5" customFormat="false" ht="15" hidden="false" customHeight="false" outlineLevel="0" collapsed="false">
      <c r="B5" s="9" t="s">
        <v>336</v>
      </c>
      <c r="C5" s="10" t="n">
        <v>12</v>
      </c>
      <c r="D5" s="10" t="n">
        <v>12</v>
      </c>
      <c r="E5" s="11" t="n">
        <f aca="false">C5/D5</f>
        <v>1</v>
      </c>
    </row>
    <row r="6" customFormat="false" ht="15" hidden="false" customHeight="false" outlineLevel="0" collapsed="false">
      <c r="B6" s="9" t="s">
        <v>91</v>
      </c>
      <c r="C6" s="10" t="n">
        <v>9</v>
      </c>
      <c r="D6" s="10" t="n">
        <v>9</v>
      </c>
      <c r="E6" s="11" t="n">
        <f aca="false">C6/D6</f>
        <v>1</v>
      </c>
    </row>
    <row r="7" customFormat="false" ht="15" hidden="false" customHeight="false" outlineLevel="0" collapsed="false">
      <c r="B7" s="9" t="s">
        <v>189</v>
      </c>
      <c r="C7" s="10" t="n">
        <v>9</v>
      </c>
      <c r="D7" s="10" t="n">
        <v>9</v>
      </c>
      <c r="E7" s="11" t="n">
        <f aca="false">C7/D7</f>
        <v>1</v>
      </c>
    </row>
    <row r="8" customFormat="false" ht="15" hidden="false" customHeight="false" outlineLevel="0" collapsed="false">
      <c r="B8" s="9" t="s">
        <v>66</v>
      </c>
      <c r="C8" s="10" t="n">
        <v>7</v>
      </c>
      <c r="D8" s="10" t="n">
        <v>7</v>
      </c>
      <c r="E8" s="11" t="n">
        <f aca="false">C8/D8</f>
        <v>1</v>
      </c>
    </row>
    <row r="9" customFormat="false" ht="15" hidden="false" customHeight="false" outlineLevel="0" collapsed="false">
      <c r="B9" s="9" t="s">
        <v>247</v>
      </c>
      <c r="C9" s="10" t="n">
        <v>6</v>
      </c>
      <c r="D9" s="10" t="n">
        <v>7</v>
      </c>
      <c r="E9" s="11" t="n">
        <f aca="false">C9/D9</f>
        <v>0.857142857142857</v>
      </c>
    </row>
    <row r="10" customFormat="false" ht="15" hidden="false" customHeight="false" outlineLevel="0" collapsed="false">
      <c r="B10" s="9" t="s">
        <v>289</v>
      </c>
      <c r="C10" s="10" t="n">
        <v>4</v>
      </c>
      <c r="D10" s="10" t="n">
        <v>5</v>
      </c>
      <c r="E10" s="11" t="n">
        <f aca="false">C10/D10</f>
        <v>0.8</v>
      </c>
    </row>
    <row r="11" customFormat="false" ht="15" hidden="false" customHeight="false" outlineLevel="0" collapsed="false">
      <c r="B11" s="9" t="s">
        <v>278</v>
      </c>
      <c r="C11" s="10" t="n">
        <v>5</v>
      </c>
      <c r="D11" s="10" t="n">
        <v>5</v>
      </c>
      <c r="E11" s="11" t="n">
        <f aca="false">C11/D11</f>
        <v>1</v>
      </c>
    </row>
    <row r="12" customFormat="false" ht="15" hidden="false" customHeight="false" outlineLevel="0" collapsed="false">
      <c r="B12" s="9" t="s">
        <v>314</v>
      </c>
      <c r="C12" s="10" t="n">
        <v>4</v>
      </c>
      <c r="D12" s="10" t="n">
        <v>4</v>
      </c>
      <c r="E12" s="11" t="n">
        <f aca="false">C12/D12</f>
        <v>1</v>
      </c>
    </row>
    <row r="13" customFormat="false" ht="15" hidden="false" customHeight="false" outlineLevel="0" collapsed="false">
      <c r="B13" s="9" t="s">
        <v>234</v>
      </c>
      <c r="C13" s="10" t="n">
        <v>3</v>
      </c>
      <c r="D13" s="10" t="n">
        <v>4</v>
      </c>
      <c r="E13" s="11" t="n">
        <f aca="false">C13/D13</f>
        <v>0.75</v>
      </c>
    </row>
    <row r="14" customFormat="false" ht="15" hidden="false" customHeight="false" outlineLevel="0" collapsed="false">
      <c r="B14" s="9" t="s">
        <v>125</v>
      </c>
      <c r="C14" s="10" t="n">
        <v>2</v>
      </c>
      <c r="D14" s="10" t="n">
        <v>3</v>
      </c>
      <c r="E14" s="11" t="n">
        <f aca="false">C14/D14</f>
        <v>0.666666666666667</v>
      </c>
    </row>
    <row r="15" customFormat="false" ht="15" hidden="false" customHeight="false" outlineLevel="0" collapsed="false">
      <c r="B15" s="9" t="s">
        <v>270</v>
      </c>
      <c r="C15" s="10" t="n">
        <v>2</v>
      </c>
      <c r="D15" s="10" t="n">
        <v>2</v>
      </c>
      <c r="E15" s="11" t="n">
        <f aca="false">C15/D15</f>
        <v>1</v>
      </c>
    </row>
    <row r="16" customFormat="false" ht="15" hidden="false" customHeight="false" outlineLevel="0" collapsed="false">
      <c r="B16" s="9" t="s">
        <v>181</v>
      </c>
      <c r="C16" s="10" t="n">
        <v>2</v>
      </c>
      <c r="D16" s="10" t="n">
        <v>2</v>
      </c>
      <c r="E16" s="11" t="n">
        <f aca="false">C16/D16</f>
        <v>1</v>
      </c>
    </row>
    <row r="17" customFormat="false" ht="15" hidden="false" customHeight="false" outlineLevel="0" collapsed="false">
      <c r="B17" s="9" t="s">
        <v>9</v>
      </c>
      <c r="C17" s="10" t="n">
        <v>2</v>
      </c>
      <c r="D17" s="10" t="n">
        <v>2</v>
      </c>
      <c r="E17" s="11" t="n">
        <f aca="false">C17/D17</f>
        <v>1</v>
      </c>
    </row>
    <row r="18" customFormat="false" ht="15" hidden="false" customHeight="false" outlineLevel="0" collapsed="false">
      <c r="B18" s="9" t="s">
        <v>229</v>
      </c>
      <c r="C18" s="10" t="n">
        <v>1</v>
      </c>
      <c r="D18" s="10" t="n">
        <v>1</v>
      </c>
      <c r="E18" s="11" t="n">
        <f aca="false">C18/D18</f>
        <v>1</v>
      </c>
    </row>
    <row r="19" customFormat="false" ht="15" hidden="false" customHeight="false" outlineLevel="0" collapsed="false">
      <c r="B19" s="9" t="s">
        <v>224</v>
      </c>
      <c r="C19" s="10" t="n">
        <v>1</v>
      </c>
      <c r="D19" s="10" t="n">
        <v>1</v>
      </c>
      <c r="E19" s="11" t="n">
        <f aca="false">C19/D19</f>
        <v>1</v>
      </c>
    </row>
    <row r="20" customFormat="false" ht="15" hidden="false" customHeight="false" outlineLevel="0" collapsed="false">
      <c r="B20" s="9" t="s">
        <v>309</v>
      </c>
      <c r="C20" s="10" t="n">
        <v>1</v>
      </c>
      <c r="D20" s="10" t="n">
        <v>1</v>
      </c>
      <c r="E20" s="11" t="n">
        <f aca="false">C20/D20</f>
        <v>1</v>
      </c>
    </row>
    <row r="21" customFormat="false" ht="15" hidden="false" customHeight="false" outlineLevel="0" collapsed="false">
      <c r="B21" s="9" t="s">
        <v>305</v>
      </c>
      <c r="C21" s="10" t="n">
        <v>1</v>
      </c>
      <c r="D21" s="10" t="n">
        <v>1</v>
      </c>
      <c r="E21" s="11" t="n">
        <f aca="false">C21/D21</f>
        <v>1</v>
      </c>
    </row>
    <row r="22" customFormat="false" ht="15" hidden="false" customHeight="false" outlineLevel="0" collapsed="false">
      <c r="B22" s="9" t="s">
        <v>363</v>
      </c>
      <c r="C22" s="10" t="n">
        <v>1</v>
      </c>
      <c r="D22" s="10" t="n">
        <v>1</v>
      </c>
      <c r="E22" s="11" t="n">
        <f aca="false">C22/D22</f>
        <v>1</v>
      </c>
    </row>
    <row r="23" customFormat="false" ht="15" hidden="false" customHeight="false" outlineLevel="0" collapsed="false">
      <c r="B23" s="9" t="s">
        <v>326</v>
      </c>
      <c r="C23" s="10" t="n">
        <v>1</v>
      </c>
      <c r="D23" s="10" t="n">
        <v>1</v>
      </c>
      <c r="E23" s="11" t="n">
        <f aca="false">C23/D23</f>
        <v>1</v>
      </c>
    </row>
    <row r="24" customFormat="false" ht="15" hidden="false" customHeight="false" outlineLevel="0" collapsed="false">
      <c r="B24" s="9" t="s">
        <v>368</v>
      </c>
      <c r="C24" s="10" t="n">
        <v>1</v>
      </c>
      <c r="D24" s="10" t="n">
        <v>1</v>
      </c>
      <c r="E24" s="11" t="n">
        <f aca="false">C24/D24</f>
        <v>1</v>
      </c>
    </row>
    <row r="25" customFormat="false" ht="15" hidden="false" customHeight="false" outlineLevel="0" collapsed="false">
      <c r="B25" s="9" t="s">
        <v>120</v>
      </c>
      <c r="C25" s="10" t="n">
        <v>1</v>
      </c>
      <c r="D25" s="10" t="n">
        <v>1</v>
      </c>
      <c r="E25" s="11" t="n">
        <f aca="false">C25/D25</f>
        <v>1</v>
      </c>
    </row>
    <row r="26" customFormat="false" ht="15" hidden="false" customHeight="false" outlineLevel="0" collapsed="false">
      <c r="B26" s="9" t="s">
        <v>87</v>
      </c>
      <c r="C26" s="10" t="n">
        <v>0</v>
      </c>
      <c r="D26" s="10" t="n">
        <v>1</v>
      </c>
      <c r="E26" s="11" t="n">
        <f aca="false">C26/D26</f>
        <v>0</v>
      </c>
    </row>
    <row r="27" customFormat="false" ht="15" hidden="false" customHeight="false" outlineLevel="0" collapsed="false">
      <c r="B27" s="9" t="s">
        <v>331</v>
      </c>
      <c r="C27" s="10" t="n">
        <v>1</v>
      </c>
      <c r="D27" s="10" t="n">
        <v>1</v>
      </c>
      <c r="E27" s="11" t="n">
        <f aca="false">C27/D27</f>
        <v>1</v>
      </c>
    </row>
    <row r="28" customFormat="false" ht="15" hidden="false" customHeight="false" outlineLevel="0" collapsed="false">
      <c r="B28" s="12" t="s">
        <v>374</v>
      </c>
      <c r="C28" s="13" t="n">
        <f aca="false">SUM(C3:C27)</f>
        <v>101</v>
      </c>
      <c r="D28" s="13" t="n">
        <f aca="false">SUM(D3:D27)</f>
        <v>106</v>
      </c>
      <c r="E28" s="14" t="n">
        <f aca="false">C28/D28</f>
        <v>0.952830188679245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5" hidden="false" customHeight="false" outlineLevel="0" collapsed="false">
      <c r="B2" s="15" t="s">
        <v>375</v>
      </c>
    </row>
    <row r="3" customFormat="false" ht="15" hidden="false" customHeight="false" outlineLevel="0" collapsed="false">
      <c r="B3" s="16"/>
    </row>
    <row r="4" customFormat="false" ht="15" hidden="false" customHeight="false" outlineLevel="0" collapsed="false">
      <c r="B4" s="16" t="s">
        <v>376</v>
      </c>
    </row>
    <row r="5" customFormat="false" ht="15" hidden="false" customHeight="false" outlineLevel="0" collapsed="false">
      <c r="B5" s="16" t="s">
        <v>377</v>
      </c>
    </row>
    <row r="6" customFormat="false" ht="15" hidden="false" customHeight="false" outlineLevel="0" collapsed="false">
      <c r="B6" s="16" t="s">
        <v>378</v>
      </c>
    </row>
    <row r="7" customFormat="false" ht="15" hidden="false" customHeight="false" outlineLevel="0" collapsed="false">
      <c r="B7" s="16" t="s">
        <v>379</v>
      </c>
    </row>
    <row r="8" customFormat="false" ht="15" hidden="false" customHeight="false" outlineLevel="0" collapsed="false">
      <c r="B8" s="16"/>
    </row>
    <row r="9" customFormat="false" ht="15" hidden="false" customHeight="false" outlineLevel="0" collapsed="false">
      <c r="B9" s="15" t="s">
        <v>380</v>
      </c>
    </row>
    <row r="10" customFormat="false" ht="15" hidden="false" customHeight="false" outlineLevel="0" collapsed="false">
      <c r="B10" s="16" t="s">
        <v>381</v>
      </c>
    </row>
    <row r="11" customFormat="false" ht="28.35" hidden="false" customHeight="false" outlineLevel="0" collapsed="false">
      <c r="B11" s="16" t="s">
        <v>382</v>
      </c>
    </row>
    <row r="12" customFormat="false" ht="15" hidden="false" customHeight="false" outlineLevel="0" collapsed="false">
      <c r="B12" s="16" t="s">
        <v>383</v>
      </c>
    </row>
    <row r="13" customFormat="false" ht="15" hidden="false" customHeight="false" outlineLevel="0" collapsed="false">
      <c r="B13" s="16" t="s">
        <v>384</v>
      </c>
    </row>
    <row r="14" customFormat="false" ht="15" hidden="false" customHeight="false" outlineLevel="0" collapsed="false">
      <c r="B14" s="16" t="s">
        <v>385</v>
      </c>
    </row>
    <row r="15" customFormat="false" ht="15" hidden="false" customHeight="false" outlineLevel="0" collapsed="false">
      <c r="B15" s="16"/>
    </row>
    <row r="16" customFormat="false" ht="15" hidden="false" customHeight="false" outlineLevel="0" collapsed="false">
      <c r="B16" s="15" t="s">
        <v>386</v>
      </c>
    </row>
    <row r="17" customFormat="false" ht="15" hidden="false" customHeight="false" outlineLevel="0" collapsed="false">
      <c r="B17" s="16" t="s">
        <v>387</v>
      </c>
    </row>
    <row r="18" customFormat="false" ht="15" hidden="false" customHeight="false" outlineLevel="0" collapsed="false">
      <c r="B18" s="16" t="s">
        <v>388</v>
      </c>
    </row>
    <row r="19" customFormat="false" ht="15" hidden="false" customHeight="false" outlineLevel="0" collapsed="false">
      <c r="B19" s="16" t="s">
        <v>389</v>
      </c>
    </row>
    <row r="20" customFormat="false" ht="15" hidden="false" customHeight="false" outlineLevel="0" collapsed="false">
      <c r="B20" s="16" t="s">
        <v>390</v>
      </c>
    </row>
    <row r="21" customFormat="false" ht="15" hidden="false" customHeight="false" outlineLevel="0" collapsed="false">
      <c r="B21" s="16" t="s">
        <v>391</v>
      </c>
    </row>
    <row r="22" customFormat="false" ht="15" hidden="false" customHeight="false" outlineLevel="0" collapsed="false">
      <c r="B22" s="16"/>
    </row>
    <row r="23" customFormat="false" ht="15" hidden="false" customHeight="false" outlineLevel="0" collapsed="false">
      <c r="B23" s="15" t="s">
        <v>392</v>
      </c>
    </row>
    <row r="24" customFormat="false" ht="15" hidden="false" customHeight="false" outlineLevel="0" collapsed="false">
      <c r="B24" s="16" t="s">
        <v>393</v>
      </c>
    </row>
    <row r="25" customFormat="false" ht="15" hidden="false" customHeight="false" outlineLevel="0" collapsed="false">
      <c r="B25" s="16" t="s">
        <v>394</v>
      </c>
    </row>
    <row r="26" customFormat="false" ht="15" hidden="false" customHeight="false" outlineLevel="0" collapsed="false">
      <c r="B26" s="16" t="s">
        <v>395</v>
      </c>
    </row>
    <row r="27" customFormat="false" ht="15" hidden="false" customHeight="false" outlineLevel="0" collapsed="false">
      <c r="B27" s="16"/>
    </row>
    <row r="28" customFormat="false" ht="15" hidden="false" customHeight="false" outlineLevel="0" collapsed="false">
      <c r="B28" s="15" t="s">
        <v>396</v>
      </c>
    </row>
    <row r="29" customFormat="false" ht="15" hidden="false" customHeight="false" outlineLevel="0" collapsed="false">
      <c r="B29" s="16" t="s">
        <v>397</v>
      </c>
    </row>
    <row r="30" customFormat="false" ht="15" hidden="false" customHeight="false" outlineLevel="0" collapsed="false">
      <c r="B30" s="16" t="s">
        <v>398</v>
      </c>
    </row>
    <row r="31" customFormat="false" ht="15" hidden="false" customHeight="false" outlineLevel="0" collapsed="false">
      <c r="B31" s="16" t="s">
        <v>399</v>
      </c>
    </row>
    <row r="32" customFormat="false" ht="15" hidden="false" customHeight="false" outlineLevel="0" collapsed="false">
      <c r="B32" s="16" t="s">
        <v>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2026-07-14T11:49:47Z</dcterms:created>
  <dc:creator>openpyxl</dc:creator>
  <dc:description/>
  <dc:language>en-US</dc:language>
  <cp:lastModifiedBy/>
  <dcterms:modified xsi:type="dcterms:W3CDTF">2026-07-14T11:49:47Z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