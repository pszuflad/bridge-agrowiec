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bat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<sst xmlns="http://schemas.openxmlformats.org/spreadsheetml/2006/main" count="130" uniqueCount="94">
  <si>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</si>
  <si>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</si>
  <si>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</si>
  <si>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</si>
  <si>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</si>
  <si>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</si>
  <si>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</si>
  <si>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4.00-8 Kabat IMP-01 4PR TT</t>
  </si>
  <si>
    <t xml:space="preserve">4.00-8</t>
  </si>
  <si>
    <t xml:space="preserve">IMP-01</t>
  </si>
  <si>
    <t xml:space="preserve">4PR TT</t>
  </si>
  <si>
    <t xml:space="preserve">https://www.pneu-bednarek.cz/4d8-,-kabat,-imp-01-621977/</t>
  </si>
  <si>
    <t xml:space="preserve">4.00-8 Kabat IMP-01 6PR TT</t>
  </si>
  <si>
    <t xml:space="preserve">6PR TT</t>
  </si>
  <si>
    <t xml:space="preserve">4.00-10 Kabat IMP-02 4PR TT</t>
  </si>
  <si>
    <t xml:space="preserve">4.00-10</t>
  </si>
  <si>
    <t xml:space="preserve">IMP-02</t>
  </si>
  <si>
    <t xml:space="preserve">https://www.e-agropneu.cz/pneumatiky/stavebni/4-00-10-4pr-kabat-implement-imp-02-tt-k63481.htm</t>
  </si>
  <si>
    <t xml:space="preserve">5.00-9 Kabat IMP-02 4PR TT</t>
  </si>
  <si>
    <t xml:space="preserve">5.00-9</t>
  </si>
  <si>
    <t xml:space="preserve">15x6.00-6 Kabat IMP-06 LINIOWA IMPLEMENT 6PR TT</t>
  </si>
  <si>
    <t xml:space="preserve">15x6.00-6</t>
  </si>
  <si>
    <t xml:space="preserve">IMP-06</t>
  </si>
  <si>
    <t xml:space="preserve">LINIOWA IMPLEMENT 6PR TT</t>
  </si>
  <si>
    <t xml:space="preserve">15x6.00-6 Kabat IMP-06 LINIOWA IMPLEMENT 6PR TL</t>
  </si>
  <si>
    <t xml:space="preserve">LINIOWA IMPLEMENT 6PR TL</t>
  </si>
  <si>
    <t xml:space="preserve">16x6.50-8 Kabat IMP-06 LINIOWA 6PR TL</t>
  </si>
  <si>
    <t xml:space="preserve">16x6.50-8</t>
  </si>
  <si>
    <t xml:space="preserve">LINIOWA 6PR TL</t>
  </si>
  <si>
    <t xml:space="preserve">https://www.e-agropneu.cz/pneumatiky/stavebni/16x6-50-86-tt-imp06-kabat-k63444.htm</t>
  </si>
  <si>
    <t xml:space="preserve">18x8.50-8 Kabat IMP-06 LINIOWA 6PR TT</t>
  </si>
  <si>
    <t xml:space="preserve">18x8.50-8</t>
  </si>
  <si>
    <t xml:space="preserve">LINIOWA 6PR TT</t>
  </si>
  <si>
    <t xml:space="preserve">https://www.e-agropneu.cz/pneumatiky/stavebni/18x8-50-8-6pr-tl-imp06-kabat-82a4-k63479.htm</t>
  </si>
  <si>
    <t xml:space="preserve">23x5 Kabat IMP-08 6PR TT</t>
  </si>
  <si>
    <t xml:space="preserve">23x5</t>
  </si>
  <si>
    <t xml:space="preserve">IMP-08</t>
  </si>
  <si>
    <t xml:space="preserve">https://www.e-agropneu.cz/pneumatiky/stavebni/23x5-6pr-imp-08-kabat-implement-113a5-k63435.htm</t>
  </si>
  <si>
    <t xml:space="preserve">18x8.50-8 Kabat LWG-02 IMP KLOCKOWA 6PR TL</t>
  </si>
  <si>
    <t xml:space="preserve">LWG-02</t>
  </si>
  <si>
    <t xml:space="preserve">IMP KLOCKOWA 6PR TL</t>
  </si>
  <si>
    <t xml:space="preserve">18x8.50-8 Kabat LWG-02 IMP KLOCKOWA 6PR TT</t>
  </si>
  <si>
    <t xml:space="preserve">IMP KLOCKOWA 6PR TT</t>
  </si>
  <si>
    <t xml:space="preserve">14.9-28 Kabat SGP-03 SUPRA GRIP 8PR TT</t>
  </si>
  <si>
    <t xml:space="preserve">14.9-28</t>
  </si>
  <si>
    <t xml:space="preserve">SGP-03</t>
  </si>
  <si>
    <t xml:space="preserve">SUPRA GRIP 8PR TT</t>
  </si>
  <si>
    <t xml:space="preserve">https://www.rolniczysklep24.pl/index.php?route=product/product&amp;product_id=2029</t>
  </si>
  <si>
    <t xml:space="preserve">6.00-16 Kabat SRF-01 SUPRA RIB 6PR TT</t>
  </si>
  <si>
    <t xml:space="preserve">6.00-16</t>
  </si>
  <si>
    <t xml:space="preserve">SRF-01</t>
  </si>
  <si>
    <t xml:space="preserve">SUPRA RIB 6PR TT</t>
  </si>
  <si>
    <t xml:space="preserve">https://www.e-agropneu.de/reifen/6-00-16-tt-kabat-supra-rib-front-k14108.htm</t>
  </si>
  <si>
    <t xml:space="preserve">6.00-16 Kabat SRF-01 SUPRA RIB 8PR TT</t>
  </si>
  <si>
    <t xml:space="preserve">SUPRA RIB 8PR TT</t>
  </si>
  <si>
    <t xml:space="preserve">6.00-16 Kabat SRF-01 8PR TT</t>
  </si>
  <si>
    <t xml:space="preserve">8PR TT</t>
  </si>
  <si>
    <t xml:space="preserve">6.00-18 Kabat SRF-02 SUPRA RIB TT</t>
  </si>
  <si>
    <t xml:space="preserve">6.00-18</t>
  </si>
  <si>
    <t xml:space="preserve">SRF-02</t>
  </si>
  <si>
    <t xml:space="preserve">SUPRA RIB TT</t>
  </si>
  <si>
    <t xml:space="preserve">https://www.e-agropneu.cz/pneumatiky/6-00-186pr-tt-srf02-kabat-supra-rip-k63472.htm</t>
  </si>
  <si>
    <t xml:space="preserve">7.50-16 Kabat SRF-02 103A8 8PR TT</t>
  </si>
  <si>
    <t xml:space="preserve">7.50-16</t>
  </si>
  <si>
    <t xml:space="preserve">103A8 8PR TT</t>
  </si>
  <si>
    <t xml:space="preserve">https://www.e-agropneu.cz/pneumatiky/7-50-168-supra-rip-front-02-103a8-k63487.htm</t>
  </si>
  <si>
    <t xml:space="preserve">6.00-16 Kabat SRF-03 SUPRA RIB 8PR TT</t>
  </si>
  <si>
    <t xml:space="preserve">SRF-03</t>
  </si>
  <si>
    <t xml:space="preserve">https://www.e-agropneu.de/reifen/6-00-16-tt-kabat-supra-rib-front-k14108.htm [dopasowano 'SRF-01']</t>
  </si>
  <si>
    <t xml:space="preserve">385/65R22.5 Kabat TRY1 160F 18PR TL</t>
  </si>
  <si>
    <t xml:space="preserve">385/65R22.5</t>
  </si>
  <si>
    <t xml:space="preserve">TRY1</t>
  </si>
  <si>
    <t xml:space="preserve">160F 18PR TL</t>
  </si>
  <si>
    <t xml:space="preserve">385/65R22.5 Kabat TRY1.AG. TL</t>
  </si>
  <si>
    <t xml:space="preserve">TRY1.AG.</t>
  </si>
  <si>
    <t xml:space="preserve">TL</t>
  </si>
  <si>
    <t xml:space="preserve">Wypełnione</t>
  </si>
  <si>
    <t xml:space="preserve">Wszystkie</t>
  </si>
  <si>
    <t xml:space="preserve">% pokrycia</t>
  </si>
  <si>
    <t xml:space="preserve">RAZEM</t>
  </si>
  <si>
    <t xml:space="preserve">Kabat - wagi opon</t>
  </si>
  <si>
    <t xml:space="preserve">Data przygotowania: 2026-07-14</t>
  </si>
  <si>
    <t xml:space="preserve">Liczba pozycji: 20</t>
  </si>
  <si>
    <t xml:space="preserve">Wypełnione wagi: 13 (65.0%)</t>
  </si>
  <si>
    <t xml:space="preserve">Braki: 7</t>
  </si>
  <si>
    <t xml:space="preserve">Metodologia:</t>
  </si>
  <si>
    <t xml:space="preserve">- Klasyfikacja 20 pozycji Kabat na 11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</si>
  <si>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</si>
  <si>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</si>
  <si>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</si>
  <si>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</si>
  <si>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bohnenkamp</t>
  </si>
  <si>
    <t xml:space="preserve">2. heuver.com</t>
  </si>
  <si>
    <t xml:space="preserve">3. e-agropneu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</si>
</sst>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1.2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8</v>
      </c>
      <c r="E4" s="3" t="s">
        <v>9</v>
      </c>
      <c r="F4" s="3" t="s">
        <v>13</v>
      </c>
      <c r="G4" s="4" t="n">
        <v>1.2</v>
      </c>
      <c r="H4" s="3" t="s">
        <v>11</v>
      </c>
    </row>
    <row r="5" customFormat="false" ht="15" hidden="false" customHeight="false" outlineLevel="0" collapsed="false">
      <c r="B5" s="2" t="n">
        <v>3</v>
      </c>
      <c r="C5" s="3" t="s">
        <v>14</v>
      </c>
      <c r="D5" s="2" t="s">
        <v>15</v>
      </c>
      <c r="E5" s="3" t="s">
        <v>16</v>
      </c>
      <c r="F5" s="3" t="s">
        <v>10</v>
      </c>
      <c r="G5" s="4" t="n">
        <v>5</v>
      </c>
      <c r="H5" s="3" t="s">
        <v>17</v>
      </c>
    </row>
    <row r="6" customFormat="false" ht="15" hidden="false" customHeight="false" outlineLevel="0" collapsed="false">
      <c r="B6" s="5" t="n">
        <v>4</v>
      </c>
      <c r="C6" s="6" t="s">
        <v>18</v>
      </c>
      <c r="D6" s="5" t="s">
        <v>19</v>
      </c>
      <c r="E6" s="6" t="s">
        <v>16</v>
      </c>
      <c r="F6" s="6" t="s">
        <v>10</v>
      </c>
      <c r="G6" s="7"/>
      <c r="H6" s="6"/>
    </row>
    <row r="7" customFormat="false" ht="15" hidden="false" customHeight="false" outlineLevel="0" collapsed="false">
      <c r="B7" s="5" t="n">
        <v>5</v>
      </c>
      <c r="C7" s="6" t="s">
        <v>20</v>
      </c>
      <c r="D7" s="5" t="s">
        <v>21</v>
      </c>
      <c r="E7" s="6" t="s">
        <v>22</v>
      </c>
      <c r="F7" s="6" t="s">
        <v>23</v>
      </c>
      <c r="G7" s="7"/>
      <c r="H7" s="6"/>
    </row>
    <row r="8" customFormat="false" ht="15" hidden="false" customHeight="false" outlineLevel="0" collapsed="false">
      <c r="B8" s="5" t="n">
        <v>6</v>
      </c>
      <c r="C8" s="6" t="s">
        <v>24</v>
      </c>
      <c r="D8" s="5" t="s">
        <v>21</v>
      </c>
      <c r="E8" s="6" t="s">
        <v>22</v>
      </c>
      <c r="F8" s="6" t="s">
        <v>25</v>
      </c>
      <c r="G8" s="7"/>
      <c r="H8" s="6"/>
    </row>
    <row r="9" customFormat="false" ht="15" hidden="false" customHeight="false" outlineLevel="0" collapsed="false">
      <c r="B9" s="2" t="n">
        <v>7</v>
      </c>
      <c r="C9" s="3" t="s">
        <v>26</v>
      </c>
      <c r="D9" s="2" t="s">
        <v>27</v>
      </c>
      <c r="E9" s="3" t="s">
        <v>22</v>
      </c>
      <c r="F9" s="3" t="s">
        <v>28</v>
      </c>
      <c r="G9" s="4" t="n">
        <v>5</v>
      </c>
      <c r="H9" s="3" t="s">
        <v>29</v>
      </c>
    </row>
    <row r="10" customFormat="false" ht="15" hidden="false" customHeight="false" outlineLevel="0" collapsed="false">
      <c r="B10" s="2" t="n">
        <v>8</v>
      </c>
      <c r="C10" s="3" t="s">
        <v>30</v>
      </c>
      <c r="D10" s="2" t="s">
        <v>31</v>
      </c>
      <c r="E10" s="3" t="s">
        <v>22</v>
      </c>
      <c r="F10" s="3" t="s">
        <v>32</v>
      </c>
      <c r="G10" s="4" t="n">
        <v>4</v>
      </c>
      <c r="H10" s="3" t="s">
        <v>33</v>
      </c>
    </row>
    <row r="11" customFormat="false" ht="15" hidden="false" customHeight="false" outlineLevel="0" collapsed="false">
      <c r="B11" s="2" t="n">
        <v>9</v>
      </c>
      <c r="C11" s="3" t="s">
        <v>34</v>
      </c>
      <c r="D11" s="2" t="s">
        <v>35</v>
      </c>
      <c r="E11" s="3" t="s">
        <v>36</v>
      </c>
      <c r="F11" s="3" t="s">
        <v>13</v>
      </c>
      <c r="G11" s="4" t="n">
        <v>7.4</v>
      </c>
      <c r="H11" s="3" t="s">
        <v>37</v>
      </c>
    </row>
    <row r="12" customFormat="false" ht="15" hidden="false" customHeight="false" outlineLevel="0" collapsed="false">
      <c r="B12" s="5" t="n">
        <v>10</v>
      </c>
      <c r="C12" s="6" t="s">
        <v>38</v>
      </c>
      <c r="D12" s="5" t="s">
        <v>31</v>
      </c>
      <c r="E12" s="6" t="s">
        <v>39</v>
      </c>
      <c r="F12" s="6" t="s">
        <v>40</v>
      </c>
      <c r="G12" s="7"/>
      <c r="H12" s="6"/>
    </row>
    <row r="13" customFormat="false" ht="15" hidden="false" customHeight="false" outlineLevel="0" collapsed="false">
      <c r="B13" s="5" t="n">
        <v>11</v>
      </c>
      <c r="C13" s="6" t="s">
        <v>41</v>
      </c>
      <c r="D13" s="5" t="s">
        <v>31</v>
      </c>
      <c r="E13" s="6" t="s">
        <v>39</v>
      </c>
      <c r="F13" s="6" t="s">
        <v>42</v>
      </c>
      <c r="G13" s="7"/>
      <c r="H13" s="6"/>
    </row>
    <row r="14" customFormat="false" ht="15" hidden="false" customHeight="false" outlineLevel="0" collapsed="false">
      <c r="B14" s="2" t="n">
        <v>12</v>
      </c>
      <c r="C14" s="3" t="s">
        <v>43</v>
      </c>
      <c r="D14" s="2" t="s">
        <v>44</v>
      </c>
      <c r="E14" s="3" t="s">
        <v>45</v>
      </c>
      <c r="F14" s="3" t="s">
        <v>46</v>
      </c>
      <c r="G14" s="4" t="n">
        <v>60</v>
      </c>
      <c r="H14" s="3" t="s">
        <v>47</v>
      </c>
    </row>
    <row r="15" customFormat="false" ht="15" hidden="false" customHeight="false" outlineLevel="0" collapsed="false">
      <c r="B15" s="2" t="n">
        <v>13</v>
      </c>
      <c r="C15" s="3" t="s">
        <v>48</v>
      </c>
      <c r="D15" s="2" t="s">
        <v>49</v>
      </c>
      <c r="E15" s="3" t="s">
        <v>50</v>
      </c>
      <c r="F15" s="3" t="s">
        <v>51</v>
      </c>
      <c r="G15" s="4" t="n">
        <v>9.5</v>
      </c>
      <c r="H15" s="3" t="s">
        <v>52</v>
      </c>
    </row>
    <row r="16" customFormat="false" ht="15" hidden="false" customHeight="false" outlineLevel="0" collapsed="false">
      <c r="B16" s="2" t="n">
        <v>14</v>
      </c>
      <c r="C16" s="3" t="s">
        <v>53</v>
      </c>
      <c r="D16" s="2" t="s">
        <v>49</v>
      </c>
      <c r="E16" s="3" t="s">
        <v>50</v>
      </c>
      <c r="F16" s="3" t="s">
        <v>54</v>
      </c>
      <c r="G16" s="4" t="n">
        <v>9.5</v>
      </c>
      <c r="H16" s="3" t="s">
        <v>52</v>
      </c>
    </row>
    <row r="17" customFormat="false" ht="15" hidden="false" customHeight="false" outlineLevel="0" collapsed="false">
      <c r="B17" s="2" t="n">
        <v>15</v>
      </c>
      <c r="C17" s="3" t="s">
        <v>55</v>
      </c>
      <c r="D17" s="2" t="s">
        <v>49</v>
      </c>
      <c r="E17" s="3" t="s">
        <v>50</v>
      </c>
      <c r="F17" s="3" t="s">
        <v>56</v>
      </c>
      <c r="G17" s="4" t="n">
        <v>9.5</v>
      </c>
      <c r="H17" s="3" t="s">
        <v>52</v>
      </c>
    </row>
    <row r="18" customFormat="false" ht="15" hidden="false" customHeight="false" outlineLevel="0" collapsed="false">
      <c r="B18" s="2" t="n">
        <v>16</v>
      </c>
      <c r="C18" s="3" t="s">
        <v>57</v>
      </c>
      <c r="D18" s="2" t="s">
        <v>58</v>
      </c>
      <c r="E18" s="3" t="s">
        <v>59</v>
      </c>
      <c r="F18" s="3" t="s">
        <v>60</v>
      </c>
      <c r="G18" s="4" t="n">
        <v>9</v>
      </c>
      <c r="H18" s="3" t="s">
        <v>61</v>
      </c>
    </row>
    <row r="19" customFormat="false" ht="15" hidden="false" customHeight="false" outlineLevel="0" collapsed="false">
      <c r="B19" s="2" t="n">
        <v>17</v>
      </c>
      <c r="C19" s="3" t="s">
        <v>62</v>
      </c>
      <c r="D19" s="2" t="s">
        <v>63</v>
      </c>
      <c r="E19" s="3" t="s">
        <v>59</v>
      </c>
      <c r="F19" s="3" t="s">
        <v>64</v>
      </c>
      <c r="G19" s="4" t="n">
        <v>14</v>
      </c>
      <c r="H19" s="3" t="s">
        <v>65</v>
      </c>
    </row>
    <row r="20" customFormat="false" ht="15" hidden="false" customHeight="false" outlineLevel="0" collapsed="false">
      <c r="B20" s="2" t="n">
        <v>18</v>
      </c>
      <c r="C20" s="3" t="s">
        <v>66</v>
      </c>
      <c r="D20" s="2" t="s">
        <v>49</v>
      </c>
      <c r="E20" s="3" t="s">
        <v>67</v>
      </c>
      <c r="F20" s="3" t="s">
        <v>54</v>
      </c>
      <c r="G20" s="4" t="n">
        <v>9.5</v>
      </c>
      <c r="H20" s="3" t="s">
        <v>68</v>
      </c>
    </row>
    <row r="21" customFormat="false" ht="15" hidden="false" customHeight="false" outlineLevel="0" collapsed="false">
      <c r="B21" s="5" t="n">
        <v>19</v>
      </c>
      <c r="C21" s="6" t="s">
        <v>69</v>
      </c>
      <c r="D21" s="5" t="s">
        <v>70</v>
      </c>
      <c r="E21" s="6" t="s">
        <v>71</v>
      </c>
      <c r="F21" s="6" t="s">
        <v>72</v>
      </c>
      <c r="G21" s="7"/>
      <c r="H21" s="6"/>
    </row>
    <row r="22" customFormat="false" ht="15" hidden="false" customHeight="false" outlineLevel="0" collapsed="false">
      <c r="B22" s="5" t="n">
        <v>20</v>
      </c>
      <c r="C22" s="6" t="s">
        <v>73</v>
      </c>
      <c r="D22" s="5" t="s">
        <v>70</v>
      </c>
      <c r="E22" s="6" t="s">
        <v>74</v>
      </c>
      <c r="F22" s="6" t="s">
        <v>75</v>
      </c>
      <c r="G22" s="7"/>
      <c r="H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76</v>
      </c>
      <c r="D2" s="8" t="s">
        <v>77</v>
      </c>
      <c r="E2" s="8" t="s">
        <v>78</v>
      </c>
    </row>
    <row r="3" customFormat="false" ht="15" hidden="false" customHeight="false" outlineLevel="0" collapsed="false">
      <c r="B3" s="9" t="s">
        <v>22</v>
      </c>
      <c r="C3" s="10" t="n">
        <v>2</v>
      </c>
      <c r="D3" s="10" t="n">
        <v>4</v>
      </c>
      <c r="E3" s="11" t="n">
        <f aca="false">C3/D3</f>
        <v>0.5</v>
      </c>
    </row>
    <row r="4" customFormat="false" ht="15" hidden="false" customHeight="false" outlineLevel="0" collapsed="false">
      <c r="B4" s="9" t="s">
        <v>50</v>
      </c>
      <c r="C4" s="10" t="n">
        <v>3</v>
      </c>
      <c r="D4" s="10" t="n">
        <v>3</v>
      </c>
      <c r="E4" s="11" t="n">
        <f aca="false">C4/D4</f>
        <v>1</v>
      </c>
    </row>
    <row r="5" customFormat="false" ht="15" hidden="false" customHeight="false" outlineLevel="0" collapsed="false">
      <c r="B5" s="9" t="s">
        <v>16</v>
      </c>
      <c r="C5" s="10" t="n">
        <v>1</v>
      </c>
      <c r="D5" s="10" t="n">
        <v>2</v>
      </c>
      <c r="E5" s="11" t="n">
        <f aca="false">C5/D5</f>
        <v>0.5</v>
      </c>
    </row>
    <row r="6" customFormat="false" ht="15" hidden="false" customHeight="false" outlineLevel="0" collapsed="false">
      <c r="B6" s="9" t="s">
        <v>39</v>
      </c>
      <c r="C6" s="10" t="n">
        <v>0</v>
      </c>
      <c r="D6" s="10" t="n">
        <v>2</v>
      </c>
      <c r="E6" s="11" t="n">
        <f aca="false">C6/D6</f>
        <v>0</v>
      </c>
    </row>
    <row r="7" customFormat="false" ht="15" hidden="false" customHeight="false" outlineLevel="0" collapsed="false">
      <c r="B7" s="9" t="s">
        <v>59</v>
      </c>
      <c r="C7" s="10" t="n">
        <v>2</v>
      </c>
      <c r="D7" s="10" t="n">
        <v>2</v>
      </c>
      <c r="E7" s="11" t="n">
        <f aca="false">C7/D7</f>
        <v>1</v>
      </c>
    </row>
    <row r="8" customFormat="false" ht="15" hidden="false" customHeight="false" outlineLevel="0" collapsed="false">
      <c r="B8" s="9" t="s">
        <v>9</v>
      </c>
      <c r="C8" s="10" t="n">
        <v>2</v>
      </c>
      <c r="D8" s="10" t="n">
        <v>2</v>
      </c>
      <c r="E8" s="11" t="n">
        <f aca="false">C8/D8</f>
        <v>1</v>
      </c>
    </row>
    <row r="9" customFormat="false" ht="15" hidden="false" customHeight="false" outlineLevel="0" collapsed="false">
      <c r="B9" s="9" t="s">
        <v>45</v>
      </c>
      <c r="C9" s="10" t="n">
        <v>1</v>
      </c>
      <c r="D9" s="10" t="n">
        <v>1</v>
      </c>
      <c r="E9" s="11" t="n">
        <f aca="false">C9/D9</f>
        <v>1</v>
      </c>
    </row>
    <row r="10" customFormat="false" ht="15" hidden="false" customHeight="false" outlineLevel="0" collapsed="false">
      <c r="B10" s="9" t="s">
        <v>36</v>
      </c>
      <c r="C10" s="10" t="n">
        <v>1</v>
      </c>
      <c r="D10" s="10" t="n">
        <v>1</v>
      </c>
      <c r="E10" s="11" t="n">
        <f aca="false">C10/D10</f>
        <v>1</v>
      </c>
    </row>
    <row r="11" customFormat="false" ht="15" hidden="false" customHeight="false" outlineLevel="0" collapsed="false">
      <c r="B11" s="9" t="s">
        <v>67</v>
      </c>
      <c r="C11" s="10" t="n">
        <v>1</v>
      </c>
      <c r="D11" s="10" t="n">
        <v>1</v>
      </c>
      <c r="E11" s="11" t="n">
        <f aca="false">C11/D11</f>
        <v>1</v>
      </c>
    </row>
    <row r="12" customFormat="false" ht="15" hidden="false" customHeight="false" outlineLevel="0" collapsed="false">
      <c r="B12" s="9" t="s">
        <v>74</v>
      </c>
      <c r="C12" s="10" t="n">
        <v>0</v>
      </c>
      <c r="D12" s="10" t="n">
        <v>1</v>
      </c>
      <c r="E12" s="11" t="n">
        <f aca="false">C12/D12</f>
        <v>0</v>
      </c>
    </row>
    <row r="13" customFormat="false" ht="15" hidden="false" customHeight="false" outlineLevel="0" collapsed="false">
      <c r="B13" s="9" t="s">
        <v>71</v>
      </c>
      <c r="C13" s="10" t="n">
        <v>0</v>
      </c>
      <c r="D13" s="10" t="n">
        <v>1</v>
      </c>
      <c r="E13" s="11" t="n">
        <f aca="false">C13/D13</f>
        <v>0</v>
      </c>
    </row>
    <row r="14" customFormat="false" ht="15" hidden="false" customHeight="false" outlineLevel="0" collapsed="false">
      <c r="B14" s="12" t="s">
        <v>79</v>
      </c>
      <c r="C14" s="13" t="n">
        <f aca="false">SUM(C3:C13)</f>
        <v>13</v>
      </c>
      <c r="D14" s="13" t="n">
        <f aca="false">SUM(D3:D13)</f>
        <v>20</v>
      </c>
      <c r="E14" s="14" t="n">
        <f aca="false">C14/D14</f>
        <v>0.65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80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81</v>
      </c>
    </row>
    <row r="5" customFormat="false" ht="15" hidden="false" customHeight="false" outlineLevel="0" collapsed="false">
      <c r="B5" s="16" t="s">
        <v>82</v>
      </c>
    </row>
    <row r="6" customFormat="false" ht="15" hidden="false" customHeight="false" outlineLevel="0" collapsed="false">
      <c r="B6" s="16" t="s">
        <v>83</v>
      </c>
    </row>
    <row r="7" customFormat="false" ht="15" hidden="false" customHeight="false" outlineLevel="0" collapsed="false">
      <c r="B7" s="16" t="s">
        <v>84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85</v>
      </c>
    </row>
    <row r="10" customFormat="false" ht="15" hidden="false" customHeight="false" outlineLevel="0" collapsed="false">
      <c r="B10" s="16" t="s">
        <v>86</v>
      </c>
    </row>
    <row r="11" customFormat="false" ht="15" hidden="false" customHeight="false" outlineLevel="0" collapsed="false">
      <c r="B11" s="16" t="s">
        <v>87</v>
      </c>
    </row>
    <row r="12" customFormat="false" ht="15" hidden="false" customHeight="false" outlineLevel="0" collapsed="false">
      <c r="B12" s="16" t="s">
        <v>88</v>
      </c>
    </row>
    <row r="13" customFormat="false" ht="15" hidden="false" customHeight="false" outlineLevel="0" collapsed="false">
      <c r="B13" s="16" t="s">
        <v>89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90</v>
      </c>
    </row>
    <row r="16" customFormat="false" ht="15" hidden="false" customHeight="false" outlineLevel="0" collapsed="false">
      <c r="B16" s="16" t="s">
        <v>91</v>
      </c>
    </row>
    <row r="17" customFormat="false" ht="15" hidden="false" customHeight="false" outlineLevel="0" collapsed="false">
      <c r="B17" s="16" t="s">
        <v>92</v>
      </c>
    </row>
    <row r="18" customFormat="false" ht="15" hidden="false" customHeight="false" outlineLevel="0" collapsed="false">
      <c r="B18" s="16" t="s">
        <v>93</v>
      </c>
    </row>
    <row r="19" customFormat="false" ht="15" hidden="false" customHeight="false" outlineLevel="0" collapsed="false">
      <c r="B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2026-07-14T13:36:50Z</dcterms:created>
  <dc:creator>openpyxl</dc:creator>
  <dc:description/>
  <dc:language>en-US</dc:language>
  <cp:lastModifiedBy/>
  <dcterms:modified xsi:type="dcterms:W3CDTF">2026-07-14T13:36:50Z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